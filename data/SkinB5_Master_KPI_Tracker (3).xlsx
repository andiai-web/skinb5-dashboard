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<sst xmlns="http://schemas.openxmlformats.org/spreadsheetml/2006/main" count="1027" uniqueCount="622">
  <si>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</si>
  <si>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</si>
  <si>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</si>
  <si>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</si>
  <si>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</si>
  <si>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</si>
  <si>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</si>
  <si>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</si>
  <si>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</si>
  <si>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</si>
  <si>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</si>
  <si>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</si>
  <si>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</si>
  <si>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</si>
  <si>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</si>
  <si>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</si>
  <si>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</si>
  <si>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</si>
  <si>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</si>
  <si>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</si>
  <si>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</si>
  <si>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</si>
  <si>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</si>
  <si>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</si>
  <si>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</si>
  <si>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</si>
  <si>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</si>
  <si>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</si>
  <si>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</si>
  <si>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</si>
  <si>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</si>
  <si>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</si>
  <si>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</si>
  <si>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</si>
  <si>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</si>
  <si>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</si>
  <si>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</si>
  <si>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</si>
  <si>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</si>
  <si>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</si>
  <si>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</si>
  <si>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</si>
  <si>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</si>
  <si>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</si>
  <si>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</si>
  <si>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</si>
  <si>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</si>
  <si>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</si>
  <si>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</si>
  <si>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</si>
  <si>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</si>
  <si>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</si>
  <si>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</si>
  <si>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</si>
  <si>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</si>
  <si>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</si>
  <si>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</si>
  <si>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</si>
  <si>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</si>
  <si>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</si>
  <si>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</si>
  <si>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</si>
  <si>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</si>
  <si>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</si>
  <si>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</si>
  <si>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</si>
  <si>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</si>
  <si>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</si>
  <si>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</si>
  <si>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</si>
  <si>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</si>
  <si>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</si>
  <si>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</si>
  <si>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</si>
  <si>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</si>
  <si>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</si>
  <si>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</si>
  <si>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</si>
  <si>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</si>
  <si>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</si>
  <si>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</si>
  <si>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</si>
  <si>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</si>
  <si>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</si>
  <si>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</si>
  <si>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</si>
  <si>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</si>
  <si>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</si>
  <si>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</si>
  <si>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</si>
  <si>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</si>
  <si>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</si>
  <si>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</si>
  <si>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</si>
  <si>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</si>
  <si>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</si>
  <si>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</si>
  <si>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</si>
  <si>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</si>
  <si>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</si>
  <si>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</si>
  <si>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</si>
  <si>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</si>
  <si>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</si>
  <si>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</si>
  <si>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</si>
  <si>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</si>
  <si>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</si>
  <si>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</si>
  <si>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</si>
  <si>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</si>
  <si>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</si>
  <si>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</si>
  <si>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64.63 %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</si>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</sst>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9"/>
      <c r="K4" s="29"/>
      <c r="L4" s="29"/>
      <c r="M4" s="29"/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7">
        <v>4833.32</v>
      </c>
      <c r="J5" s="29"/>
      <c r="K5" s="29"/>
      <c r="L5" s="29"/>
      <c r="M5" s="29"/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7"/>
      <c r="K6" s="37"/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9"/>
      <c r="K7" s="39"/>
      <c r="L7" s="39"/>
      <c r="M7" s="39"/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9"/>
      <c r="K8" s="29"/>
      <c r="L8" s="29"/>
      <c r="M8" s="29"/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9"/>
      <c r="K9" s="29"/>
      <c r="L9" s="29"/>
      <c r="M9" s="29"/>
      <c r="N9" s="29"/>
      <c r="O9" s="29"/>
      <c r="P9" s="29"/>
      <c r="Q9" s="30" t="s">
        <v>70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72</v>
      </c>
      <c r="C12" s="26" t="s">
        <v>73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7"/>
      <c r="K12" s="37"/>
      <c r="L12" s="37"/>
      <c r="M12" s="37"/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74</v>
      </c>
      <c r="C13" s="33" t="s">
        <v>73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7"/>
      <c r="K13" s="37"/>
      <c r="L13" s="37"/>
      <c r="M13" s="37"/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75</v>
      </c>
      <c r="C14" s="26" t="s">
        <v>76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6"/>
      <c r="K14" s="46"/>
      <c r="L14" s="46"/>
      <c r="M14" s="46"/>
      <c r="N14" s="46"/>
      <c r="O14" s="46"/>
      <c r="P14" s="46"/>
      <c r="Q14" s="30" t="s">
        <v>77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78</v>
      </c>
      <c r="C15" s="33" t="s">
        <v>79</v>
      </c>
      <c r="D15" s="50">
        <v>85.0</v>
      </c>
      <c r="E15" s="28">
        <v>72.19</v>
      </c>
      <c r="F15" s="51">
        <v>65.0</v>
      </c>
      <c r="G15" s="28">
        <v>87.95</v>
      </c>
      <c r="H15" s="28">
        <v>269.87</v>
      </c>
      <c r="I15" s="28">
        <v>297.07</v>
      </c>
      <c r="J15" s="29"/>
      <c r="K15" s="29"/>
      <c r="L15" s="29"/>
      <c r="M15" s="29"/>
      <c r="N15" s="29"/>
      <c r="O15" s="29"/>
      <c r="P15" s="29"/>
      <c r="Q15" s="30" t="s">
        <v>80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81</v>
      </c>
      <c r="C16" s="26" t="s">
        <v>82</v>
      </c>
      <c r="D16" s="45">
        <v>0.91</v>
      </c>
      <c r="E16" s="52">
        <v>0.4</v>
      </c>
      <c r="F16" s="47">
        <v>0.3382</v>
      </c>
      <c r="G16" s="49">
        <v>0.38</v>
      </c>
      <c r="H16" s="53" t="s">
        <v>83</v>
      </c>
      <c r="I16" s="49">
        <v>0.5224</v>
      </c>
      <c r="J16" s="46"/>
      <c r="K16" s="46"/>
      <c r="L16" s="46"/>
      <c r="M16" s="46"/>
      <c r="N16" s="46"/>
      <c r="O16" s="46"/>
      <c r="P16" s="46"/>
      <c r="Q16" s="30" t="s">
        <v>84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85</v>
      </c>
      <c r="C17" s="33" t="s">
        <v>73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87</v>
      </c>
      <c r="C20" s="26" t="s">
        <v>88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7"/>
      <c r="K20" s="37"/>
      <c r="L20" s="37"/>
      <c r="M20" s="37"/>
      <c r="N20" s="37"/>
      <c r="O20" s="37"/>
      <c r="P20" s="37"/>
      <c r="Q20" s="30" t="s">
        <v>89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90</v>
      </c>
      <c r="C21" s="33" t="s">
        <v>88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6"/>
      <c r="K21" s="46"/>
      <c r="L21" s="46"/>
      <c r="M21" s="46"/>
      <c r="N21" s="46"/>
      <c r="O21" s="46"/>
      <c r="P21" s="46"/>
      <c r="Q21" s="30" t="s">
        <v>91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92</v>
      </c>
      <c r="C22" s="26" t="s">
        <v>93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6"/>
      <c r="K22" s="46"/>
      <c r="L22" s="46"/>
      <c r="M22" s="46"/>
      <c r="N22" s="46"/>
      <c r="O22" s="46"/>
      <c r="P22" s="46"/>
      <c r="Q22" s="30" t="s">
        <v>94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95</v>
      </c>
      <c r="C23" s="33" t="s">
        <v>93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6"/>
      <c r="K23" s="46"/>
      <c r="L23" s="46"/>
      <c r="M23" s="46"/>
      <c r="N23" s="46"/>
      <c r="O23" s="46"/>
      <c r="P23" s="46"/>
      <c r="Q23" s="30" t="s">
        <v>96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97</v>
      </c>
      <c r="C24" s="26" t="s">
        <v>98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6"/>
      <c r="K24" s="46"/>
      <c r="L24" s="46"/>
      <c r="M24" s="46"/>
      <c r="N24" s="46"/>
      <c r="O24" s="46"/>
      <c r="P24" s="46"/>
      <c r="Q24" s="30" t="s">
        <v>99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4" t="s">
        <v>101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102</v>
      </c>
      <c r="C4" s="55" t="s">
        <v>103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7"/>
      <c r="K4" s="37"/>
      <c r="L4" s="37"/>
      <c r="M4" s="37"/>
      <c r="N4" s="37"/>
      <c r="O4" s="37"/>
      <c r="P4" s="37"/>
      <c r="Q4" s="30" t="s">
        <v>104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105</v>
      </c>
      <c r="C5" s="33" t="s">
        <v>106</v>
      </c>
      <c r="D5" s="43"/>
      <c r="E5" s="43"/>
      <c r="F5" s="37"/>
      <c r="G5" s="37"/>
      <c r="H5" s="37"/>
      <c r="I5" s="35">
        <v>19959.0</v>
      </c>
      <c r="J5" s="37"/>
      <c r="K5" s="37"/>
      <c r="L5" s="37"/>
      <c r="M5" s="37"/>
      <c r="N5" s="37"/>
      <c r="O5" s="37"/>
      <c r="P5" s="37"/>
      <c r="Q5" s="30" t="s">
        <v>107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108</v>
      </c>
      <c r="C6" s="26" t="s">
        <v>109</v>
      </c>
      <c r="D6" s="34"/>
      <c r="E6" s="34"/>
      <c r="F6" s="35"/>
      <c r="G6" s="35"/>
      <c r="H6" s="37"/>
      <c r="I6" s="35">
        <v>52.0</v>
      </c>
      <c r="J6" s="37"/>
      <c r="K6" s="37"/>
      <c r="L6" s="37"/>
      <c r="M6" s="37"/>
      <c r="N6" s="37"/>
      <c r="O6" s="37"/>
      <c r="P6" s="37"/>
      <c r="Q6" s="30" t="s">
        <v>110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6" t="s">
        <v>111</v>
      </c>
      <c r="C7" s="33" t="s">
        <v>112</v>
      </c>
      <c r="D7" s="57"/>
      <c r="E7" s="57"/>
      <c r="F7" s="58"/>
      <c r="G7" s="58"/>
      <c r="H7" s="58"/>
      <c r="I7" s="53" t="s">
        <v>113</v>
      </c>
      <c r="J7" s="58"/>
      <c r="K7" s="58"/>
      <c r="L7" s="58"/>
      <c r="M7" s="58"/>
      <c r="N7" s="58"/>
      <c r="O7" s="58"/>
      <c r="P7" s="58"/>
      <c r="Q7" s="30" t="s">
        <v>114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9" t="s">
        <v>115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116</v>
      </c>
      <c r="C10" s="55" t="s">
        <v>117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7"/>
      <c r="K10" s="37"/>
      <c r="L10" s="37"/>
      <c r="M10" s="37"/>
      <c r="N10" s="37"/>
      <c r="O10" s="37"/>
      <c r="P10" s="37"/>
      <c r="Q10" s="30" t="s">
        <v>118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119</v>
      </c>
      <c r="C11" s="55" t="s">
        <v>117</v>
      </c>
      <c r="D11" s="60">
        <v>0.195</v>
      </c>
      <c r="E11" s="61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6"/>
      <c r="K11" s="46"/>
      <c r="L11" s="46"/>
      <c r="M11" s="46"/>
      <c r="N11" s="46"/>
      <c r="O11" s="46"/>
      <c r="P11" s="46"/>
      <c r="Q11" s="30" t="s">
        <v>77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120</v>
      </c>
      <c r="C12" s="55" t="s">
        <v>117</v>
      </c>
      <c r="D12" s="62">
        <v>0.0241</v>
      </c>
      <c r="E12" s="62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6"/>
      <c r="K12" s="46"/>
      <c r="L12" s="46"/>
      <c r="M12" s="46"/>
      <c r="N12" s="46"/>
      <c r="O12" s="46"/>
      <c r="P12" s="46"/>
      <c r="Q12" s="30" t="s">
        <v>121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122</v>
      </c>
      <c r="C13" s="63" t="s">
        <v>123</v>
      </c>
      <c r="D13" s="62">
        <v>0.024</v>
      </c>
      <c r="E13" s="49">
        <v>0.0</v>
      </c>
      <c r="F13" s="64">
        <v>0.01</v>
      </c>
      <c r="G13" s="49">
        <v>0.067</v>
      </c>
      <c r="H13" s="49">
        <v>0.05</v>
      </c>
      <c r="I13" s="49">
        <v>0.04</v>
      </c>
      <c r="J13" s="46"/>
      <c r="K13" s="46"/>
      <c r="L13" s="46"/>
      <c r="M13" s="46"/>
      <c r="N13" s="46"/>
      <c r="O13" s="46"/>
      <c r="P13" s="46"/>
      <c r="Q13" s="30" t="s">
        <v>124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125</v>
      </c>
      <c r="C14" s="55" t="s">
        <v>126</v>
      </c>
      <c r="D14" s="50">
        <v>0.0</v>
      </c>
      <c r="E14" s="50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9"/>
      <c r="K14" s="29"/>
      <c r="L14" s="29"/>
      <c r="M14" s="29"/>
      <c r="N14" s="29"/>
      <c r="O14" s="29"/>
      <c r="P14" s="29"/>
      <c r="Q14" s="30" t="s">
        <v>127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128</v>
      </c>
      <c r="C15" s="63" t="s">
        <v>129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7"/>
      <c r="K15" s="37"/>
      <c r="L15" s="37"/>
      <c r="M15" s="37"/>
      <c r="N15" s="37"/>
      <c r="O15" s="37"/>
      <c r="P15" s="37"/>
      <c r="Q15" s="30" t="s">
        <v>118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130</v>
      </c>
      <c r="C16" s="55" t="s">
        <v>131</v>
      </c>
      <c r="D16" s="62">
        <v>0.143</v>
      </c>
      <c r="E16" s="62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6"/>
      <c r="K16" s="46"/>
      <c r="L16" s="46"/>
      <c r="M16" s="46"/>
      <c r="N16" s="46"/>
      <c r="O16" s="46"/>
      <c r="P16" s="46"/>
      <c r="Q16" s="30" t="s">
        <v>132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133</v>
      </c>
      <c r="C17" s="63" t="s">
        <v>134</v>
      </c>
      <c r="D17" s="61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6"/>
      <c r="K17" s="46"/>
      <c r="L17" s="46"/>
      <c r="M17" s="46"/>
      <c r="N17" s="46"/>
      <c r="O17" s="46"/>
      <c r="P17" s="46"/>
      <c r="Q17" s="30" t="s">
        <v>94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135</v>
      </c>
      <c r="C18" s="55" t="s">
        <v>136</v>
      </c>
      <c r="D18" s="50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9"/>
      <c r="K18" s="29"/>
      <c r="L18" s="29"/>
      <c r="M18" s="29"/>
      <c r="N18" s="29"/>
      <c r="O18" s="29"/>
      <c r="P18" s="29"/>
      <c r="Q18" s="30" t="s">
        <v>137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138</v>
      </c>
      <c r="C19" s="63" t="s">
        <v>139</v>
      </c>
      <c r="D19" s="45"/>
      <c r="E19" s="58"/>
      <c r="F19" s="46"/>
      <c r="G19" s="46"/>
      <c r="H19" s="53">
        <v>3.3</v>
      </c>
      <c r="I19" s="53">
        <v>0.0</v>
      </c>
      <c r="J19" s="46"/>
      <c r="K19" s="46"/>
      <c r="L19" s="46"/>
      <c r="M19" s="46"/>
      <c r="N19" s="46"/>
      <c r="O19" s="46"/>
      <c r="P19" s="46"/>
      <c r="Q19" s="30" t="s">
        <v>140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142</v>
      </c>
      <c r="C22" s="26" t="s">
        <v>143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6"/>
      <c r="K22" s="46"/>
      <c r="L22" s="46"/>
      <c r="M22" s="46"/>
      <c r="N22" s="46"/>
      <c r="O22" s="46"/>
      <c r="P22" s="46"/>
      <c r="Q22" s="30" t="s">
        <v>144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145</v>
      </c>
      <c r="C23" s="33" t="s">
        <v>143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6"/>
      <c r="K23" s="46"/>
      <c r="L23" s="46"/>
      <c r="M23" s="46"/>
      <c r="N23" s="46"/>
      <c r="O23" s="46"/>
      <c r="P23" s="46"/>
      <c r="Q23" s="30" t="s">
        <v>124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146</v>
      </c>
      <c r="C24" s="26" t="s">
        <v>147</v>
      </c>
      <c r="D24" s="40"/>
      <c r="E24" s="29"/>
      <c r="F24" s="28">
        <v>78.11</v>
      </c>
      <c r="G24" s="28" t="s">
        <v>148</v>
      </c>
      <c r="H24" s="28">
        <v>127.0</v>
      </c>
      <c r="I24" s="28">
        <v>606.73</v>
      </c>
      <c r="J24" s="29"/>
      <c r="K24" s="29"/>
      <c r="L24" s="29"/>
      <c r="M24" s="29"/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150</v>
      </c>
      <c r="C27" s="33" t="s">
        <v>151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152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153</v>
      </c>
      <c r="C28" s="26" t="s">
        <v>154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155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156</v>
      </c>
      <c r="C29" s="33" t="s">
        <v>157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158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159</v>
      </c>
      <c r="C32" s="69" t="s">
        <v>160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2"/>
      <c r="K32" s="72"/>
      <c r="L32" s="72"/>
      <c r="M32" s="72"/>
      <c r="N32" s="72"/>
      <c r="O32" s="72"/>
      <c r="P32" s="72"/>
      <c r="Q32" s="73" t="s">
        <v>161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4" t="s">
        <v>162</v>
      </c>
      <c r="C33" s="75" t="s">
        <v>163</v>
      </c>
      <c r="D33" s="76"/>
      <c r="E33" s="77"/>
      <c r="F33" s="72"/>
      <c r="G33" s="72"/>
      <c r="H33" s="78">
        <v>0.393</v>
      </c>
      <c r="I33" s="78">
        <v>0.438</v>
      </c>
      <c r="J33" s="72"/>
      <c r="K33" s="72"/>
      <c r="L33" s="72"/>
      <c r="M33" s="72"/>
      <c r="N33" s="72"/>
      <c r="O33" s="72"/>
      <c r="P33" s="72"/>
      <c r="Q33" s="73" t="s">
        <v>164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165</v>
      </c>
      <c r="C34" s="69" t="s">
        <v>166</v>
      </c>
      <c r="D34" s="79">
        <v>0.0</v>
      </c>
      <c r="E34" s="77">
        <v>0.0</v>
      </c>
      <c r="F34" s="77">
        <v>0.0</v>
      </c>
      <c r="G34" s="77">
        <v>0.0</v>
      </c>
      <c r="H34" s="72"/>
      <c r="I34" s="72"/>
      <c r="J34" s="72"/>
      <c r="K34" s="72"/>
      <c r="L34" s="72"/>
      <c r="M34" s="72"/>
      <c r="N34" s="72"/>
      <c r="O34" s="72"/>
      <c r="P34" s="72"/>
      <c r="Q34" s="73" t="s">
        <v>167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4" t="s">
        <v>168</v>
      </c>
      <c r="C35" s="75" t="s">
        <v>169</v>
      </c>
      <c r="D35" s="79">
        <v>12.0</v>
      </c>
      <c r="E35" s="77">
        <v>12.0</v>
      </c>
      <c r="F35" s="77">
        <v>12.0</v>
      </c>
      <c r="G35" s="77">
        <v>12.0</v>
      </c>
      <c r="H35" s="77">
        <v>12.0</v>
      </c>
      <c r="I35" s="77">
        <v>12.0</v>
      </c>
      <c r="J35" s="72"/>
      <c r="K35" s="72"/>
      <c r="L35" s="72"/>
      <c r="M35" s="72"/>
      <c r="N35" s="72"/>
      <c r="O35" s="72"/>
      <c r="P35" s="72"/>
      <c r="Q35" s="73" t="s">
        <v>170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171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172</v>
      </c>
      <c r="C38" s="82" t="s">
        <v>173</v>
      </c>
      <c r="D38" s="83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3" t="s">
        <v>174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175</v>
      </c>
      <c r="C39" s="75" t="s">
        <v>176</v>
      </c>
      <c r="D39" s="83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 t="s">
        <v>177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178</v>
      </c>
      <c r="C40" s="82" t="s">
        <v>179</v>
      </c>
      <c r="D40" s="83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 t="s">
        <v>164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180</v>
      </c>
      <c r="C41" s="75" t="s">
        <v>181</v>
      </c>
      <c r="D41" s="83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3" t="s">
        <v>182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183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184</v>
      </c>
      <c r="C44" s="82" t="s">
        <v>185</v>
      </c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 t="s">
        <v>186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187</v>
      </c>
      <c r="C45" s="75" t="s">
        <v>188</v>
      </c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3" t="s">
        <v>189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190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191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194</v>
      </c>
      <c r="C4" s="26" t="s">
        <v>195</v>
      </c>
      <c r="D4" s="43" t="s">
        <v>196</v>
      </c>
      <c r="E4" s="37" t="s">
        <v>196</v>
      </c>
      <c r="F4" s="44" t="s">
        <v>196</v>
      </c>
      <c r="G4" s="44" t="s">
        <v>196</v>
      </c>
      <c r="H4" s="44" t="s">
        <v>196</v>
      </c>
      <c r="I4" s="44" t="s">
        <v>196</v>
      </c>
      <c r="J4" s="37"/>
      <c r="K4" s="37"/>
      <c r="L4" s="37"/>
      <c r="M4" s="37"/>
      <c r="N4" s="37"/>
      <c r="O4" s="37"/>
      <c r="P4" s="37"/>
      <c r="Q4" s="30" t="s">
        <v>197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198</v>
      </c>
      <c r="C5" s="33" t="s">
        <v>195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7"/>
      <c r="K5" s="37"/>
      <c r="L5" s="37"/>
      <c r="M5" s="37"/>
      <c r="N5" s="37"/>
      <c r="O5" s="37"/>
      <c r="P5" s="37"/>
      <c r="Q5" s="30" t="s">
        <v>199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200</v>
      </c>
      <c r="C6" s="26" t="s">
        <v>201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7"/>
      <c r="K6" s="37"/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202</v>
      </c>
      <c r="C7" s="33" t="s">
        <v>201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203</v>
      </c>
      <c r="J7" s="37"/>
      <c r="K7" s="37"/>
      <c r="L7" s="37"/>
      <c r="M7" s="37"/>
      <c r="N7" s="37"/>
      <c r="O7" s="37"/>
      <c r="P7" s="37"/>
      <c r="Q7" s="30" t="s">
        <v>204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205</v>
      </c>
      <c r="C8" s="26" t="s">
        <v>206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3">
        <v>0.67</v>
      </c>
      <c r="J8" s="46"/>
      <c r="K8" s="46"/>
      <c r="L8" s="46"/>
      <c r="M8" s="46"/>
      <c r="N8" s="46"/>
      <c r="O8" s="46"/>
      <c r="P8" s="46"/>
      <c r="Q8" s="30" t="s">
        <v>207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208</v>
      </c>
      <c r="C9" s="33" t="s">
        <v>209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7"/>
      <c r="K9" s="37"/>
      <c r="L9" s="37"/>
      <c r="M9" s="37"/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210</v>
      </c>
      <c r="C10" s="26" t="s">
        <v>211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212</v>
      </c>
      <c r="C11" s="33" t="s">
        <v>213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7"/>
      <c r="K11" s="37"/>
      <c r="L11" s="37"/>
      <c r="M11" s="37"/>
      <c r="N11" s="37"/>
      <c r="O11" s="37"/>
      <c r="P11" s="37"/>
      <c r="Q11" s="30" t="s">
        <v>214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194</v>
      </c>
      <c r="C14" s="26" t="s">
        <v>216</v>
      </c>
      <c r="D14" s="43" t="s">
        <v>217</v>
      </c>
      <c r="E14" s="43" t="s">
        <v>217</v>
      </c>
      <c r="F14" s="44" t="s">
        <v>218</v>
      </c>
      <c r="G14" s="44" t="s">
        <v>218</v>
      </c>
      <c r="H14" s="44" t="s">
        <v>218</v>
      </c>
      <c r="I14" s="44" t="s">
        <v>218</v>
      </c>
      <c r="J14" s="37"/>
      <c r="K14" s="37"/>
      <c r="L14" s="37"/>
      <c r="M14" s="37"/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198</v>
      </c>
      <c r="C15" s="33" t="s">
        <v>219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7"/>
      <c r="K15" s="37"/>
      <c r="L15" s="37"/>
      <c r="M15" s="37"/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220</v>
      </c>
      <c r="C16" s="26" t="s">
        <v>221</v>
      </c>
      <c r="D16" s="34" t="s">
        <v>222</v>
      </c>
      <c r="E16" s="35" t="s">
        <v>223</v>
      </c>
      <c r="F16" s="36" t="s">
        <v>224</v>
      </c>
      <c r="G16" s="35" t="s">
        <v>225</v>
      </c>
      <c r="H16" s="35">
        <v>871.0</v>
      </c>
      <c r="I16" s="35">
        <v>2723.0</v>
      </c>
      <c r="J16" s="37"/>
      <c r="K16" s="37"/>
      <c r="L16" s="37"/>
      <c r="M16" s="37"/>
      <c r="N16" s="37"/>
      <c r="O16" s="37"/>
      <c r="P16" s="37"/>
      <c r="Q16" s="30" t="s">
        <v>226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227</v>
      </c>
      <c r="C17" s="33" t="s">
        <v>228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205</v>
      </c>
      <c r="C18" s="26" t="s">
        <v>229</v>
      </c>
      <c r="D18" s="45"/>
      <c r="E18" s="46"/>
      <c r="F18" s="89"/>
      <c r="G18" s="46"/>
      <c r="H18" s="49">
        <v>0.72</v>
      </c>
      <c r="I18" s="46"/>
      <c r="J18" s="46"/>
      <c r="K18" s="46"/>
      <c r="L18" s="46"/>
      <c r="M18" s="46"/>
      <c r="N18" s="46"/>
      <c r="O18" s="46"/>
      <c r="P18" s="46"/>
      <c r="Q18" s="30" t="s">
        <v>124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230</v>
      </c>
      <c r="C19" s="33" t="s">
        <v>231</v>
      </c>
      <c r="D19" s="43"/>
      <c r="E19" s="37"/>
      <c r="F19" s="44"/>
      <c r="G19" s="37"/>
      <c r="H19" s="35">
        <v>51.0</v>
      </c>
      <c r="I19" s="35">
        <v>206.0</v>
      </c>
      <c r="J19" s="37"/>
      <c r="K19" s="37"/>
      <c r="L19" s="37"/>
      <c r="M19" s="37"/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232</v>
      </c>
      <c r="C20" s="26" t="s">
        <v>233</v>
      </c>
      <c r="D20" s="43"/>
      <c r="E20" s="37"/>
      <c r="F20" s="8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234</v>
      </c>
      <c r="C21" s="33" t="s">
        <v>235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236</v>
      </c>
      <c r="C22" s="26" t="s">
        <v>237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7"/>
      <c r="K22" s="37"/>
      <c r="L22" s="37"/>
      <c r="M22" s="37"/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239</v>
      </c>
      <c r="C25" s="33" t="s">
        <v>240</v>
      </c>
      <c r="D25" s="43" t="s">
        <v>241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7"/>
      <c r="K25" s="37"/>
      <c r="L25" s="37"/>
      <c r="M25" s="37"/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242</v>
      </c>
      <c r="C26" s="26" t="s">
        <v>243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7"/>
      <c r="K26" s="37"/>
      <c r="L26" s="37"/>
      <c r="M26" s="37"/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244</v>
      </c>
      <c r="C27" s="33" t="s">
        <v>243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7"/>
      <c r="K27" s="37"/>
      <c r="L27" s="37"/>
      <c r="M27" s="37"/>
      <c r="N27" s="37"/>
      <c r="O27" s="37"/>
      <c r="P27" s="37"/>
      <c r="Q27" s="30" t="s">
        <v>245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246</v>
      </c>
      <c r="C28" s="26" t="s">
        <v>243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7"/>
      <c r="K28" s="37"/>
      <c r="L28" s="37"/>
      <c r="M28" s="37"/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247</v>
      </c>
      <c r="C29" s="33" t="s">
        <v>243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7"/>
      <c r="K29" s="37"/>
      <c r="L29" s="37"/>
      <c r="M29" s="37"/>
      <c r="N29" s="37"/>
      <c r="O29" s="37"/>
      <c r="P29" s="37"/>
      <c r="Q29" s="30" t="s">
        <v>248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249</v>
      </c>
      <c r="C30" s="26" t="s">
        <v>250</v>
      </c>
      <c r="D30" s="45" t="s">
        <v>83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6"/>
      <c r="K30" s="46"/>
      <c r="L30" s="46"/>
      <c r="M30" s="46"/>
      <c r="N30" s="46"/>
      <c r="O30" s="46"/>
      <c r="P30" s="46"/>
      <c r="Q30" s="30" t="s">
        <v>251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252</v>
      </c>
      <c r="C31" s="33" t="s">
        <v>253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7"/>
      <c r="K31" s="37"/>
      <c r="L31" s="37"/>
      <c r="M31" s="37"/>
      <c r="N31" s="37"/>
      <c r="O31" s="37"/>
      <c r="P31" s="37"/>
      <c r="Q31" s="30" t="s">
        <v>254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255</v>
      </c>
      <c r="C32" s="26" t="s">
        <v>256</v>
      </c>
      <c r="D32" s="90" t="s">
        <v>257</v>
      </c>
      <c r="E32" s="47">
        <v>0.9516</v>
      </c>
      <c r="F32" s="47">
        <v>0.9502</v>
      </c>
      <c r="G32" s="53" t="s">
        <v>258</v>
      </c>
      <c r="H32" s="49">
        <v>0.9242</v>
      </c>
      <c r="I32" s="49">
        <v>0.9463</v>
      </c>
      <c r="J32" s="46"/>
      <c r="K32" s="46"/>
      <c r="L32" s="46"/>
      <c r="M32" s="46"/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259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260</v>
      </c>
      <c r="C35" s="33" t="s">
        <v>213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7"/>
      <c r="K35" s="37"/>
      <c r="L35" s="37"/>
      <c r="M35" s="37"/>
      <c r="N35" s="37"/>
      <c r="O35" s="37"/>
      <c r="P35" s="37"/>
      <c r="Q35" s="30" t="s">
        <v>261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262</v>
      </c>
      <c r="C36" s="26" t="s">
        <v>213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7"/>
      <c r="K36" s="37"/>
      <c r="L36" s="37"/>
      <c r="M36" s="37"/>
      <c r="N36" s="37"/>
      <c r="O36" s="37"/>
      <c r="P36" s="37"/>
      <c r="Q36" s="30" t="s">
        <v>263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264</v>
      </c>
      <c r="C37" s="33" t="s">
        <v>213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7"/>
      <c r="K37" s="37"/>
      <c r="L37" s="37"/>
      <c r="M37" s="37"/>
      <c r="N37" s="37"/>
      <c r="O37" s="37"/>
      <c r="P37" s="37"/>
      <c r="Q37" s="30" t="s">
        <v>261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265</v>
      </c>
      <c r="C38" s="26" t="s">
        <v>213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7"/>
      <c r="K38" s="37"/>
      <c r="L38" s="37"/>
      <c r="M38" s="37"/>
      <c r="N38" s="37"/>
      <c r="O38" s="37"/>
      <c r="P38" s="37"/>
      <c r="Q38" s="30" t="s">
        <v>266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267</v>
      </c>
      <c r="C39" s="33" t="s">
        <v>213</v>
      </c>
      <c r="D39" s="43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0" t="s">
        <v>268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271</v>
      </c>
      <c r="C4" s="26" t="s">
        <v>272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274</v>
      </c>
      <c r="C5" s="33" t="s">
        <v>272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275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276</v>
      </c>
      <c r="C6" s="26" t="s">
        <v>272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277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278</v>
      </c>
      <c r="C7" s="33" t="s">
        <v>279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280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281</v>
      </c>
      <c r="C8" s="26" t="s">
        <v>282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283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284</v>
      </c>
      <c r="C9" s="33" t="s">
        <v>282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285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286</v>
      </c>
      <c r="C10" s="26" t="s">
        <v>287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144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288</v>
      </c>
      <c r="C11" s="33" t="s">
        <v>289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290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292</v>
      </c>
      <c r="C14" s="26" t="s">
        <v>293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294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295</v>
      </c>
      <c r="C15" s="33" t="s">
        <v>282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285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296</v>
      </c>
      <c r="C16" s="26" t="s">
        <v>297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298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299</v>
      </c>
      <c r="C17" s="33" t="s">
        <v>282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300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302</v>
      </c>
      <c r="C20" s="26" t="s">
        <v>282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303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304</v>
      </c>
      <c r="C21" s="33" t="s">
        <v>305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306</v>
      </c>
      <c r="C22" s="26" t="s">
        <v>282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307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308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309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310</v>
      </c>
      <c r="C4" s="26" t="s">
        <v>311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9"/>
      <c r="K4" s="29"/>
      <c r="L4" s="29"/>
      <c r="M4" s="29"/>
      <c r="N4" s="29"/>
      <c r="O4" s="29"/>
      <c r="P4" s="29"/>
      <c r="Q4" s="30" t="s">
        <v>312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313</v>
      </c>
      <c r="C5" s="33" t="s">
        <v>314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7"/>
      <c r="K5" s="37"/>
      <c r="L5" s="37"/>
      <c r="M5" s="37"/>
      <c r="N5" s="37"/>
      <c r="O5" s="37"/>
      <c r="P5" s="37"/>
      <c r="Q5" s="30" t="s">
        <v>118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315</v>
      </c>
      <c r="C6" s="26" t="s">
        <v>316</v>
      </c>
      <c r="D6" s="28" t="s">
        <v>317</v>
      </c>
      <c r="E6" s="28" t="s">
        <v>318</v>
      </c>
      <c r="F6" s="28" t="s">
        <v>319</v>
      </c>
      <c r="G6" s="28">
        <v>82488.0</v>
      </c>
      <c r="H6" s="28">
        <v>96704.0</v>
      </c>
      <c r="I6" s="28">
        <v>96704.0</v>
      </c>
      <c r="J6" s="29"/>
      <c r="K6" s="29"/>
      <c r="L6" s="29"/>
      <c r="M6" s="29"/>
      <c r="N6" s="29"/>
      <c r="O6" s="29"/>
      <c r="P6" s="29"/>
      <c r="Q6" s="30" t="s">
        <v>320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321</v>
      </c>
      <c r="C7" s="93" t="s">
        <v>322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324</v>
      </c>
      <c r="C8" s="26" t="s">
        <v>325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64">
        <v>0.42</v>
      </c>
      <c r="J8" s="46"/>
      <c r="K8" s="46"/>
      <c r="L8" s="46"/>
      <c r="M8" s="46"/>
      <c r="N8" s="46"/>
      <c r="O8" s="46"/>
      <c r="P8" s="46"/>
      <c r="Q8" s="30" t="s">
        <v>326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327</v>
      </c>
      <c r="C9" s="33" t="s">
        <v>282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328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329</v>
      </c>
      <c r="C10" s="26" t="s">
        <v>330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332</v>
      </c>
      <c r="C13" s="33" t="s">
        <v>333</v>
      </c>
      <c r="D13" s="28" t="s">
        <v>334</v>
      </c>
      <c r="E13" s="28" t="s">
        <v>335</v>
      </c>
      <c r="F13" s="28">
        <v>1825.39</v>
      </c>
      <c r="G13" s="28">
        <v>2722.43</v>
      </c>
      <c r="H13" s="28" t="s">
        <v>336</v>
      </c>
      <c r="I13" s="28">
        <v>1805.0</v>
      </c>
      <c r="J13" s="29"/>
      <c r="K13" s="29"/>
      <c r="L13" s="29"/>
      <c r="M13" s="29"/>
      <c r="N13" s="29"/>
      <c r="O13" s="29"/>
      <c r="P13" s="29"/>
      <c r="Q13" s="30" t="s">
        <v>337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338</v>
      </c>
      <c r="C14" s="26" t="s">
        <v>339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340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341</v>
      </c>
      <c r="C15" s="33" t="s">
        <v>282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342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343</v>
      </c>
      <c r="C16" s="26" t="s">
        <v>282</v>
      </c>
      <c r="D16" s="95" t="s">
        <v>344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345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346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347</v>
      </c>
      <c r="C19" s="33" t="s">
        <v>348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349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350</v>
      </c>
      <c r="C20" s="26" t="s">
        <v>351</v>
      </c>
      <c r="D20" s="97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 t="s">
        <v>352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353</v>
      </c>
      <c r="C21" s="33" t="s">
        <v>282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354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355</v>
      </c>
      <c r="C22" s="26" t="s">
        <v>356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357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360</v>
      </c>
      <c r="C4" s="26" t="s">
        <v>361</v>
      </c>
      <c r="D4" s="40">
        <v>245.96</v>
      </c>
      <c r="E4" s="29" t="s">
        <v>362</v>
      </c>
      <c r="F4" s="41" t="s">
        <v>363</v>
      </c>
      <c r="G4" s="28">
        <v>173.75</v>
      </c>
      <c r="H4" s="28">
        <v>103.01</v>
      </c>
      <c r="I4" s="28">
        <v>172.38</v>
      </c>
      <c r="J4" s="29"/>
      <c r="K4" s="29"/>
      <c r="L4" s="29"/>
      <c r="M4" s="29"/>
      <c r="N4" s="29"/>
      <c r="O4" s="29"/>
      <c r="P4" s="29"/>
      <c r="Q4" s="30" t="s">
        <v>364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365</v>
      </c>
      <c r="C5" s="33" t="s">
        <v>366</v>
      </c>
      <c r="D5" s="40" t="s">
        <v>367</v>
      </c>
      <c r="E5" s="29" t="s">
        <v>368</v>
      </c>
      <c r="F5" s="41" t="s">
        <v>369</v>
      </c>
      <c r="G5" s="28">
        <v>56.95</v>
      </c>
      <c r="H5" s="28">
        <v>179.9</v>
      </c>
      <c r="I5" s="28">
        <v>231.88</v>
      </c>
      <c r="J5" s="29"/>
      <c r="K5" s="29"/>
      <c r="L5" s="29"/>
      <c r="M5" s="29"/>
      <c r="N5" s="29"/>
      <c r="O5" s="29"/>
      <c r="P5" s="29"/>
      <c r="Q5" s="30" t="s">
        <v>370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371</v>
      </c>
      <c r="C6" s="26" t="s">
        <v>372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99"/>
      <c r="K6" s="99"/>
      <c r="L6" s="99"/>
      <c r="M6" s="99"/>
      <c r="N6" s="99"/>
      <c r="O6" s="99"/>
      <c r="P6" s="99"/>
      <c r="Q6" s="30" t="s">
        <v>373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374</v>
      </c>
      <c r="C7" s="33" t="s">
        <v>375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3"/>
      <c r="K7" s="103"/>
      <c r="L7" s="103"/>
      <c r="M7" s="103"/>
      <c r="N7" s="103"/>
      <c r="O7" s="103"/>
      <c r="P7" s="103"/>
      <c r="Q7" s="30" t="s">
        <v>376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377</v>
      </c>
      <c r="C8" s="26" t="s">
        <v>378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3"/>
      <c r="K8" s="103"/>
      <c r="L8" s="103"/>
      <c r="M8" s="103"/>
      <c r="N8" s="103"/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379</v>
      </c>
      <c r="C9" s="33" t="s">
        <v>380</v>
      </c>
      <c r="D9" s="57">
        <v>0.005</v>
      </c>
      <c r="E9" s="58">
        <v>0.0079</v>
      </c>
      <c r="F9" s="106">
        <v>0.0048</v>
      </c>
      <c r="G9" s="48">
        <v>0.0053</v>
      </c>
      <c r="H9" s="53">
        <v>0.55</v>
      </c>
      <c r="I9" s="53">
        <v>0.26</v>
      </c>
      <c r="J9" s="58"/>
      <c r="K9" s="58"/>
      <c r="L9" s="58"/>
      <c r="M9" s="58"/>
      <c r="N9" s="58"/>
      <c r="O9" s="58"/>
      <c r="P9" s="58"/>
      <c r="Q9" s="30" t="s">
        <v>381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382</v>
      </c>
      <c r="C10" s="26" t="s">
        <v>383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384</v>
      </c>
      <c r="C11" s="33" t="s">
        <v>385</v>
      </c>
      <c r="D11" s="40">
        <v>81.99</v>
      </c>
      <c r="E11" s="29" t="s">
        <v>386</v>
      </c>
      <c r="F11" s="41">
        <v>33.28</v>
      </c>
      <c r="G11" s="28">
        <v>174.0</v>
      </c>
      <c r="H11" s="28">
        <v>51.51</v>
      </c>
      <c r="I11" s="28">
        <v>57.46</v>
      </c>
      <c r="J11" s="29"/>
      <c r="K11" s="29"/>
      <c r="L11" s="29"/>
      <c r="M11" s="29"/>
      <c r="N11" s="29"/>
      <c r="O11" s="29"/>
      <c r="P11" s="29"/>
      <c r="Q11" s="30" t="s">
        <v>387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388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389</v>
      </c>
      <c r="C14" s="26" t="s">
        <v>390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364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391</v>
      </c>
      <c r="C15" s="33" t="s">
        <v>392</v>
      </c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393</v>
      </c>
      <c r="C16" s="26" t="s">
        <v>372</v>
      </c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373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394</v>
      </c>
      <c r="C17" s="33" t="s">
        <v>395</v>
      </c>
      <c r="D17" s="10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396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397</v>
      </c>
      <c r="C18" s="26" t="s">
        <v>398</v>
      </c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399</v>
      </c>
      <c r="C19" s="33" t="s">
        <v>385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387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7" t="s">
        <v>400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401</v>
      </c>
      <c r="C22" s="93" t="s">
        <v>402</v>
      </c>
      <c r="D22" s="40">
        <v>441.0</v>
      </c>
      <c r="E22" s="29" t="s">
        <v>403</v>
      </c>
      <c r="F22" s="41">
        <v>431.74</v>
      </c>
      <c r="G22" s="41">
        <v>344.44</v>
      </c>
      <c r="H22" s="28">
        <v>202.0</v>
      </c>
      <c r="I22" s="28">
        <v>399.85</v>
      </c>
      <c r="J22" s="29"/>
      <c r="K22" s="29"/>
      <c r="L22" s="29"/>
      <c r="M22" s="29"/>
      <c r="N22" s="29"/>
      <c r="O22" s="29"/>
      <c r="P22" s="29"/>
      <c r="Q22" s="30" t="s">
        <v>364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404</v>
      </c>
      <c r="C23" s="108" t="s">
        <v>405</v>
      </c>
      <c r="D23" s="40" t="s">
        <v>406</v>
      </c>
      <c r="E23" s="29" t="s">
        <v>407</v>
      </c>
      <c r="F23" s="41">
        <v>464.62</v>
      </c>
      <c r="G23" s="28">
        <v>785.1</v>
      </c>
      <c r="H23" s="28">
        <v>560.93</v>
      </c>
      <c r="I23" s="28">
        <v>652.29</v>
      </c>
      <c r="J23" s="29"/>
      <c r="K23" s="29"/>
      <c r="L23" s="29"/>
      <c r="M23" s="29"/>
      <c r="N23" s="29"/>
      <c r="O23" s="29"/>
      <c r="P23" s="29"/>
      <c r="Q23" s="30" t="s">
        <v>408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409</v>
      </c>
      <c r="C24" s="93" t="s">
        <v>372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99"/>
      <c r="K24" s="99"/>
      <c r="L24" s="99"/>
      <c r="M24" s="99"/>
      <c r="N24" s="99"/>
      <c r="O24" s="99"/>
      <c r="P24" s="99"/>
      <c r="Q24" s="30" t="s">
        <v>410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411</v>
      </c>
      <c r="C25" s="108" t="s">
        <v>412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3"/>
      <c r="K25" s="103"/>
      <c r="L25" s="103"/>
      <c r="M25" s="103"/>
      <c r="N25" s="103"/>
      <c r="O25" s="103"/>
      <c r="P25" s="103"/>
      <c r="Q25" s="30" t="s">
        <v>413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414</v>
      </c>
      <c r="C26" s="93" t="s">
        <v>415</v>
      </c>
      <c r="D26" s="57">
        <v>0.0112</v>
      </c>
      <c r="E26" s="58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58"/>
      <c r="K26" s="58"/>
      <c r="L26" s="58"/>
      <c r="M26" s="58"/>
      <c r="N26" s="58"/>
      <c r="O26" s="58"/>
      <c r="P26" s="58"/>
      <c r="Q26" s="30" t="s">
        <v>124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416</v>
      </c>
      <c r="C27" s="108" t="s">
        <v>417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7"/>
      <c r="K27" s="37"/>
      <c r="L27" s="37"/>
      <c r="M27" s="37"/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418</v>
      </c>
      <c r="C28" s="93" t="s">
        <v>385</v>
      </c>
      <c r="D28" s="40" t="s">
        <v>419</v>
      </c>
      <c r="E28" s="29">
        <v>52.31</v>
      </c>
      <c r="F28" s="41" t="s">
        <v>420</v>
      </c>
      <c r="G28" s="28">
        <v>28.65</v>
      </c>
      <c r="H28" s="28">
        <v>25.51</v>
      </c>
      <c r="I28" s="28">
        <v>34.27</v>
      </c>
      <c r="J28" s="29"/>
      <c r="K28" s="29"/>
      <c r="L28" s="29"/>
      <c r="M28" s="29"/>
      <c r="N28" s="29"/>
      <c r="O28" s="29"/>
      <c r="P28" s="29"/>
      <c r="Q28" s="30" t="s">
        <v>387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421</v>
      </c>
      <c r="C29" s="108" t="s">
        <v>422</v>
      </c>
      <c r="D29" s="109">
        <v>10.0</v>
      </c>
      <c r="E29" s="110">
        <v>10.0</v>
      </c>
      <c r="F29" s="111">
        <v>8.0</v>
      </c>
      <c r="G29" s="112">
        <v>10.0</v>
      </c>
      <c r="H29" s="112">
        <v>10.0</v>
      </c>
      <c r="I29" s="112">
        <v>10.0</v>
      </c>
      <c r="J29" s="110"/>
      <c r="K29" s="110"/>
      <c r="L29" s="110"/>
      <c r="M29" s="110"/>
      <c r="N29" s="110"/>
      <c r="O29" s="110"/>
      <c r="P29" s="110"/>
      <c r="Q29" s="30" t="s">
        <v>423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424</v>
      </c>
      <c r="C30" s="26" t="s">
        <v>425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364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426</v>
      </c>
      <c r="C31" s="33" t="s">
        <v>427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370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428</v>
      </c>
      <c r="C32" s="26" t="s">
        <v>429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373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430</v>
      </c>
      <c r="C33" s="33" t="s">
        <v>431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387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432</v>
      </c>
      <c r="C34" s="26" t="s">
        <v>433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434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435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436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437</v>
      </c>
      <c r="C4" s="22" t="s">
        <v>438</v>
      </c>
      <c r="D4" s="22" t="s">
        <v>439</v>
      </c>
      <c r="E4" s="22" t="s">
        <v>440</v>
      </c>
      <c r="F4" s="22" t="s">
        <v>441</v>
      </c>
      <c r="G4" s="22" t="s">
        <v>442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443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3">
        <f>'🛒 Shopify &amp; Revenue'!D5</f>
        <v>2467.76</v>
      </c>
      <c r="D6" s="114" t="s">
        <v>53</v>
      </c>
      <c r="E6" s="17" t="s">
        <v>444</v>
      </c>
      <c r="F6" s="115" t="s">
        <v>445</v>
      </c>
      <c r="G6" s="116" t="s">
        <v>446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447</v>
      </c>
      <c r="C7" s="117">
        <f>'🛒 Shopify &amp; Revenue'!D8</f>
        <v>1855.79</v>
      </c>
      <c r="D7" s="118" t="s">
        <v>448</v>
      </c>
      <c r="E7" s="17" t="s">
        <v>444</v>
      </c>
      <c r="F7" s="119" t="s">
        <v>445</v>
      </c>
      <c r="G7" s="120" t="s">
        <v>449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75</v>
      </c>
      <c r="C8" s="121">
        <f>'🛒 Shopify &amp; Revenue'!D12</f>
        <v>19</v>
      </c>
      <c r="D8" s="114" t="s">
        <v>77</v>
      </c>
      <c r="E8" s="17" t="s">
        <v>444</v>
      </c>
      <c r="F8" s="115" t="s">
        <v>445</v>
      </c>
      <c r="G8" s="116" t="s">
        <v>450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451</v>
      </c>
      <c r="C9" s="122">
        <f>'🛒 Shopify &amp; Revenue'!D13</f>
        <v>17</v>
      </c>
      <c r="D9" s="118" t="s">
        <v>452</v>
      </c>
      <c r="E9" s="17" t="s">
        <v>444</v>
      </c>
      <c r="F9" s="119" t="s">
        <v>445</v>
      </c>
      <c r="G9" s="120" t="s">
        <v>453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90</v>
      </c>
      <c r="C10" s="123">
        <f>'🛒 Shopify &amp; Revenue'!D21</f>
        <v>0.0177</v>
      </c>
      <c r="D10" s="114" t="s">
        <v>91</v>
      </c>
      <c r="E10" s="17" t="s">
        <v>444</v>
      </c>
      <c r="F10" s="115" t="s">
        <v>445</v>
      </c>
      <c r="G10" s="116" t="s">
        <v>454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455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456</v>
      </c>
      <c r="C13" s="124">
        <f>'📧 Email &amp; CRM'!D11</f>
        <v>0.195</v>
      </c>
      <c r="D13" s="118" t="s">
        <v>124</v>
      </c>
      <c r="E13" s="17" t="s">
        <v>444</v>
      </c>
      <c r="F13" s="119" t="s">
        <v>457</v>
      </c>
      <c r="G13" s="120" t="s">
        <v>458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459</v>
      </c>
      <c r="C14" s="123" t="str">
        <f>'📧 Email &amp; CRM'!D19</f>
        <v/>
      </c>
      <c r="D14" s="114" t="s">
        <v>94</v>
      </c>
      <c r="E14" s="17" t="s">
        <v>444</v>
      </c>
      <c r="F14" s="115" t="s">
        <v>457</v>
      </c>
      <c r="G14" s="116" t="s">
        <v>460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461</v>
      </c>
      <c r="C15" s="125" t="str">
        <f>'📧 Email &amp; CRM'!D30</f>
        <v/>
      </c>
      <c r="D15" s="118" t="s">
        <v>462</v>
      </c>
      <c r="E15" s="17" t="s">
        <v>444</v>
      </c>
      <c r="F15" s="119" t="s">
        <v>457</v>
      </c>
      <c r="G15" s="120" t="s">
        <v>463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464</v>
      </c>
      <c r="C16" s="121" t="str">
        <f>'📧 Email &amp; CRM'!D6</f>
        <v/>
      </c>
      <c r="D16" s="114" t="s">
        <v>465</v>
      </c>
      <c r="E16" s="17" t="s">
        <v>444</v>
      </c>
      <c r="F16" s="115" t="s">
        <v>457</v>
      </c>
      <c r="G16" s="116" t="s">
        <v>466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467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468</v>
      </c>
      <c r="C19" s="122">
        <f>'📱 Social Media'!D7</f>
        <v>287</v>
      </c>
      <c r="D19" s="118" t="s">
        <v>204</v>
      </c>
      <c r="E19" s="17" t="s">
        <v>444</v>
      </c>
      <c r="F19" s="119" t="s">
        <v>469</v>
      </c>
      <c r="G19" s="120" t="s">
        <v>470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471</v>
      </c>
      <c r="C20" s="123" t="str">
        <f>'📱 Social Media'!D18</f>
        <v/>
      </c>
      <c r="D20" s="114" t="s">
        <v>226</v>
      </c>
      <c r="E20" s="17" t="s">
        <v>444</v>
      </c>
      <c r="F20" s="115" t="s">
        <v>469</v>
      </c>
      <c r="G20" s="116" t="s">
        <v>472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473</v>
      </c>
      <c r="C21" s="124" t="str">
        <f>'📱 Social Media'!D30</f>
        <v>56%%</v>
      </c>
      <c r="D21" s="118" t="s">
        <v>245</v>
      </c>
      <c r="E21" s="17" t="s">
        <v>444</v>
      </c>
      <c r="F21" s="119" t="s">
        <v>469</v>
      </c>
      <c r="G21" s="120" t="s">
        <v>474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475</v>
      </c>
      <c r="C22" s="121">
        <f>'📱 Social Media'!D9</f>
        <v>24</v>
      </c>
      <c r="D22" s="114" t="s">
        <v>207</v>
      </c>
      <c r="E22" s="17" t="s">
        <v>444</v>
      </c>
      <c r="F22" s="115" t="s">
        <v>469</v>
      </c>
      <c r="G22" s="116" t="s">
        <v>476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477</v>
      </c>
      <c r="C23" s="122">
        <f>'📱 Social Media'!D36</f>
        <v>3</v>
      </c>
      <c r="D23" s="118" t="s">
        <v>261</v>
      </c>
      <c r="E23" s="17" t="s">
        <v>444</v>
      </c>
      <c r="F23" s="119" t="s">
        <v>469</v>
      </c>
      <c r="G23" s="120" t="s">
        <v>478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479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284</v>
      </c>
      <c r="C26" s="121" t="str">
        <f>'🏥 Clinic Pipeline'!D9</f>
        <v/>
      </c>
      <c r="D26" s="114" t="s">
        <v>285</v>
      </c>
      <c r="E26" s="17" t="s">
        <v>444</v>
      </c>
      <c r="F26" s="115" t="s">
        <v>480</v>
      </c>
      <c r="G26" s="116" t="s">
        <v>481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482</v>
      </c>
      <c r="C27" s="117" t="str">
        <f>'🏥 Clinic Pipeline'!D14</f>
        <v/>
      </c>
      <c r="D27" s="118" t="s">
        <v>483</v>
      </c>
      <c r="E27" s="17" t="s">
        <v>444</v>
      </c>
      <c r="F27" s="119" t="s">
        <v>480</v>
      </c>
      <c r="G27" s="120" t="s">
        <v>484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485</v>
      </c>
      <c r="C28" s="121" t="str">
        <f>'🏥 Clinic Pipeline'!D5</f>
        <v/>
      </c>
      <c r="D28" s="114" t="s">
        <v>275</v>
      </c>
      <c r="E28" s="17" t="s">
        <v>444</v>
      </c>
      <c r="F28" s="115" t="s">
        <v>480</v>
      </c>
      <c r="G28" s="116" t="s">
        <v>486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487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488</v>
      </c>
      <c r="C31" s="122">
        <f>'🌏 Asia Sales'!D5</f>
        <v>8</v>
      </c>
      <c r="D31" s="118" t="s">
        <v>489</v>
      </c>
      <c r="E31" s="17" t="s">
        <v>444</v>
      </c>
      <c r="F31" s="119" t="s">
        <v>490</v>
      </c>
      <c r="G31" s="120" t="s">
        <v>491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492</v>
      </c>
      <c r="C32" s="121" t="str">
        <f>'🌏 Asia Sales'!D9</f>
        <v/>
      </c>
      <c r="D32" s="114" t="s">
        <v>326</v>
      </c>
      <c r="E32" s="17" t="s">
        <v>444</v>
      </c>
      <c r="F32" s="115" t="s">
        <v>490</v>
      </c>
      <c r="G32" s="116" t="s">
        <v>493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332</v>
      </c>
      <c r="C33" s="117" t="str">
        <f>'🌏 Asia Sales'!D13</f>
        <v>$2,593.70 </v>
      </c>
      <c r="D33" s="118" t="s">
        <v>494</v>
      </c>
      <c r="E33" s="17" t="s">
        <v>444</v>
      </c>
      <c r="F33" s="119" t="s">
        <v>490</v>
      </c>
      <c r="G33" s="120" t="s">
        <v>495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496</v>
      </c>
      <c r="C34" s="121" t="str">
        <f>'🌏 Asia Sales'!D10</f>
        <v/>
      </c>
      <c r="D34" s="114" t="s">
        <v>285</v>
      </c>
      <c r="E34" s="17" t="s">
        <v>444</v>
      </c>
      <c r="F34" s="115" t="s">
        <v>490</v>
      </c>
      <c r="G34" s="116" t="s">
        <v>497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498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428</v>
      </c>
      <c r="C37" s="126">
        <f>'💰 Paid Ads'!D24</f>
        <v>258.34</v>
      </c>
      <c r="D37" s="118" t="s">
        <v>373</v>
      </c>
      <c r="E37" s="17" t="s">
        <v>444</v>
      </c>
      <c r="F37" s="119" t="s">
        <v>499</v>
      </c>
      <c r="G37" s="120" t="s">
        <v>500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430</v>
      </c>
      <c r="C38" s="113">
        <f>'💰 Paid Ads'!D25</f>
        <v>2.47</v>
      </c>
      <c r="D38" s="114" t="s">
        <v>387</v>
      </c>
      <c r="E38" s="17" t="s">
        <v>444</v>
      </c>
      <c r="F38" s="115" t="s">
        <v>499</v>
      </c>
      <c r="G38" s="116" t="s">
        <v>501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502</v>
      </c>
      <c r="C39" s="117" t="str">
        <f>'💰 Paid Ads'!D23</f>
        <v>$1.14k</v>
      </c>
      <c r="D39" s="118" t="s">
        <v>364</v>
      </c>
      <c r="E39" s="17" t="s">
        <v>444</v>
      </c>
      <c r="F39" s="119" t="s">
        <v>499</v>
      </c>
      <c r="G39" s="120" t="s">
        <v>503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7" t="s">
        <v>504</v>
      </c>
      <c r="R1" s="1"/>
    </row>
    <row r="2" ht="18.0" customHeight="1">
      <c r="A2" s="1"/>
      <c r="B2" s="128" t="s">
        <v>505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29" t="s">
        <v>34</v>
      </c>
      <c r="D4" s="130" t="s">
        <v>35</v>
      </c>
      <c r="E4" s="129" t="s">
        <v>36</v>
      </c>
      <c r="F4" s="129" t="s">
        <v>37</v>
      </c>
      <c r="G4" s="129" t="s">
        <v>38</v>
      </c>
      <c r="H4" s="129" t="s">
        <v>39</v>
      </c>
      <c r="I4" s="129" t="s">
        <v>40</v>
      </c>
      <c r="J4" s="129" t="s">
        <v>41</v>
      </c>
      <c r="K4" s="129" t="s">
        <v>42</v>
      </c>
      <c r="L4" s="129" t="s">
        <v>43</v>
      </c>
      <c r="M4" s="129" t="s">
        <v>44</v>
      </c>
      <c r="N4" s="129" t="s">
        <v>45</v>
      </c>
      <c r="O4" s="129" t="s">
        <v>46</v>
      </c>
      <c r="P4" s="129" t="s">
        <v>47</v>
      </c>
      <c r="Q4" s="131" t="s">
        <v>439</v>
      </c>
      <c r="R4" s="1"/>
    </row>
    <row r="5" ht="21.75" customHeight="1">
      <c r="A5" s="1"/>
      <c r="B5" s="132" t="s">
        <v>506</v>
      </c>
      <c r="R5" s="1"/>
    </row>
    <row r="6" ht="21.75" customHeight="1">
      <c r="A6" s="1"/>
      <c r="B6" s="81" t="s">
        <v>507</v>
      </c>
      <c r="C6" s="82" t="s">
        <v>508</v>
      </c>
      <c r="D6" s="79">
        <v>1.0</v>
      </c>
      <c r="E6" s="77">
        <v>1.0</v>
      </c>
      <c r="F6" s="77">
        <v>2.0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3" t="s">
        <v>509</v>
      </c>
      <c r="R6" s="1"/>
    </row>
    <row r="7" ht="21.75" customHeight="1">
      <c r="A7" s="1"/>
      <c r="B7" s="84" t="s">
        <v>510</v>
      </c>
      <c r="C7" s="75" t="s">
        <v>511</v>
      </c>
      <c r="D7" s="79">
        <v>1.0</v>
      </c>
      <c r="E7" s="77">
        <v>1.0</v>
      </c>
      <c r="F7" s="77">
        <v>0.0</v>
      </c>
      <c r="G7" s="72"/>
      <c r="H7" s="72"/>
      <c r="I7" s="72"/>
      <c r="J7" s="72"/>
      <c r="K7" s="72"/>
      <c r="L7" s="72"/>
      <c r="M7" s="72"/>
      <c r="N7" s="72"/>
      <c r="O7" s="72"/>
      <c r="P7" s="72"/>
      <c r="Q7" s="73" t="s">
        <v>512</v>
      </c>
      <c r="R7" s="1"/>
    </row>
    <row r="8" ht="21.75" customHeight="1">
      <c r="A8" s="1"/>
      <c r="B8" s="81" t="s">
        <v>513</v>
      </c>
      <c r="C8" s="82" t="s">
        <v>514</v>
      </c>
      <c r="D8" s="79">
        <v>1.0</v>
      </c>
      <c r="E8" s="77">
        <v>1.0</v>
      </c>
      <c r="F8" s="77">
        <v>1.0</v>
      </c>
      <c r="G8" s="72"/>
      <c r="H8" s="72"/>
      <c r="I8" s="72"/>
      <c r="J8" s="72"/>
      <c r="K8" s="72"/>
      <c r="L8" s="72"/>
      <c r="M8" s="72"/>
      <c r="N8" s="72"/>
      <c r="O8" s="72"/>
      <c r="P8" s="72"/>
      <c r="Q8" s="73" t="s">
        <v>515</v>
      </c>
      <c r="R8" s="1"/>
    </row>
    <row r="9" ht="21.75" customHeight="1">
      <c r="A9" s="1"/>
      <c r="B9" s="84" t="s">
        <v>516</v>
      </c>
      <c r="C9" s="75" t="s">
        <v>517</v>
      </c>
      <c r="D9" s="76">
        <v>1.0</v>
      </c>
      <c r="E9" s="77">
        <v>100.0</v>
      </c>
      <c r="F9" s="77">
        <v>15.7</v>
      </c>
      <c r="G9" s="72"/>
      <c r="H9" s="72"/>
      <c r="I9" s="72"/>
      <c r="J9" s="72"/>
      <c r="K9" s="72"/>
      <c r="L9" s="72"/>
      <c r="M9" s="72"/>
      <c r="N9" s="72"/>
      <c r="O9" s="72"/>
      <c r="P9" s="72"/>
      <c r="Q9" s="73" t="s">
        <v>518</v>
      </c>
      <c r="R9" s="1"/>
    </row>
    <row r="10" ht="21.75" customHeight="1">
      <c r="A10" s="1"/>
      <c r="B10" s="81" t="s">
        <v>519</v>
      </c>
      <c r="C10" s="82" t="s">
        <v>520</v>
      </c>
      <c r="D10" s="79">
        <v>0.0</v>
      </c>
      <c r="E10" s="77">
        <v>2.0</v>
      </c>
      <c r="F10" s="77">
        <v>0.0</v>
      </c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3" t="s">
        <v>521</v>
      </c>
      <c r="R10" s="1"/>
    </row>
    <row r="11" ht="21.75" customHeight="1">
      <c r="A11" s="1"/>
      <c r="B11" s="84" t="s">
        <v>522</v>
      </c>
      <c r="C11" s="75" t="s">
        <v>523</v>
      </c>
      <c r="D11" s="79">
        <v>1.0</v>
      </c>
      <c r="E11" s="72"/>
      <c r="F11" s="77">
        <v>0.0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 t="s">
        <v>524</v>
      </c>
      <c r="R11" s="1"/>
    </row>
    <row r="12" ht="21.75" customHeight="1">
      <c r="A12" s="1"/>
      <c r="B12" s="81" t="s">
        <v>525</v>
      </c>
      <c r="C12" s="82" t="s">
        <v>526</v>
      </c>
      <c r="D12" s="79">
        <v>0.0</v>
      </c>
      <c r="E12" s="77">
        <v>0.0</v>
      </c>
      <c r="F12" s="77">
        <v>0.0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3" t="s">
        <v>527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3" t="s">
        <v>528</v>
      </c>
      <c r="R14" s="1"/>
    </row>
    <row r="15" ht="21.75" customHeight="1">
      <c r="A15" s="1"/>
      <c r="B15" s="81" t="s">
        <v>529</v>
      </c>
      <c r="C15" s="82" t="s">
        <v>530</v>
      </c>
      <c r="D15" s="76">
        <v>1.0</v>
      </c>
      <c r="E15" s="77">
        <v>100.0</v>
      </c>
      <c r="F15" s="77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 t="s">
        <v>518</v>
      </c>
      <c r="R15" s="1"/>
    </row>
    <row r="16" ht="21.75" customHeight="1">
      <c r="A16" s="1"/>
      <c r="B16" s="84" t="s">
        <v>531</v>
      </c>
      <c r="C16" s="75" t="s">
        <v>532</v>
      </c>
      <c r="D16" s="79">
        <v>0.0</v>
      </c>
      <c r="E16" s="77">
        <v>0.0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 t="s">
        <v>533</v>
      </c>
      <c r="R16" s="1"/>
    </row>
    <row r="17" ht="21.75" customHeight="1">
      <c r="A17" s="1"/>
      <c r="B17" s="81" t="s">
        <v>534</v>
      </c>
      <c r="C17" s="82" t="s">
        <v>535</v>
      </c>
      <c r="D17" s="79">
        <v>0.0</v>
      </c>
      <c r="E17" s="77">
        <v>0.0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3" t="s">
        <v>536</v>
      </c>
      <c r="R17" s="1"/>
    </row>
    <row r="18" ht="21.75" customHeight="1">
      <c r="A18" s="1"/>
      <c r="B18" s="84" t="s">
        <v>537</v>
      </c>
      <c r="C18" s="75" t="s">
        <v>538</v>
      </c>
      <c r="D18" s="79">
        <v>0.0</v>
      </c>
      <c r="E18" s="77">
        <v>0.0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3" t="s">
        <v>539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4" t="s">
        <v>540</v>
      </c>
      <c r="R20" s="1"/>
    </row>
    <row r="21" ht="21.75" customHeight="1">
      <c r="A21" s="1"/>
      <c r="B21" s="81" t="s">
        <v>541</v>
      </c>
      <c r="C21" s="82" t="s">
        <v>542</v>
      </c>
      <c r="D21" s="79">
        <v>0.0</v>
      </c>
      <c r="E21" s="77">
        <v>0.0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 t="s">
        <v>543</v>
      </c>
      <c r="R21" s="1"/>
    </row>
    <row r="22" ht="21.75" customHeight="1">
      <c r="A22" s="1"/>
      <c r="B22" s="84" t="s">
        <v>544</v>
      </c>
      <c r="C22" s="75" t="s">
        <v>545</v>
      </c>
      <c r="D22" s="79">
        <v>0.0</v>
      </c>
      <c r="E22" s="77">
        <v>0.0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 t="s">
        <v>546</v>
      </c>
      <c r="R22" s="1"/>
    </row>
    <row r="23" ht="21.75" customHeight="1">
      <c r="A23" s="1"/>
      <c r="B23" s="81" t="s">
        <v>547</v>
      </c>
      <c r="C23" s="82" t="s">
        <v>548</v>
      </c>
      <c r="D23" s="79">
        <v>0.0</v>
      </c>
      <c r="E23" s="77">
        <v>0.0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 t="s">
        <v>518</v>
      </c>
      <c r="R23" s="1"/>
    </row>
    <row r="24" ht="21.75" customHeight="1">
      <c r="A24" s="1"/>
      <c r="B24" s="84" t="s">
        <v>549</v>
      </c>
      <c r="C24" s="75" t="s">
        <v>550</v>
      </c>
      <c r="D24" s="79">
        <v>0.0</v>
      </c>
      <c r="E24" s="77">
        <v>0.0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3" t="s">
        <v>551</v>
      </c>
      <c r="R24" s="1"/>
    </row>
    <row r="25" ht="21.75" customHeight="1">
      <c r="A25" s="1"/>
      <c r="B25" s="81" t="s">
        <v>552</v>
      </c>
      <c r="C25" s="82" t="s">
        <v>553</v>
      </c>
      <c r="D25" s="79">
        <v>0.0</v>
      </c>
      <c r="E25" s="77">
        <v>0.0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 t="s">
        <v>554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5" t="s">
        <v>555</v>
      </c>
      <c r="R27" s="1"/>
    </row>
    <row r="28" ht="21.75" customHeight="1">
      <c r="A28" s="1"/>
      <c r="B28" s="81" t="s">
        <v>556</v>
      </c>
      <c r="C28" s="82" t="s">
        <v>557</v>
      </c>
      <c r="D28" s="79">
        <v>0.0</v>
      </c>
      <c r="E28" s="77">
        <v>1.0</v>
      </c>
      <c r="F28" s="72"/>
      <c r="G28" s="77"/>
      <c r="H28" s="72"/>
      <c r="I28" s="72"/>
      <c r="J28" s="72"/>
      <c r="K28" s="72"/>
      <c r="L28" s="72"/>
      <c r="M28" s="72"/>
      <c r="N28" s="72"/>
      <c r="O28" s="72"/>
      <c r="P28" s="72"/>
      <c r="Q28" s="73" t="s">
        <v>558</v>
      </c>
      <c r="R28" s="1"/>
    </row>
    <row r="29" ht="21.75" customHeight="1">
      <c r="A29" s="1"/>
      <c r="B29" s="84" t="s">
        <v>559</v>
      </c>
      <c r="C29" s="75" t="s">
        <v>560</v>
      </c>
      <c r="D29" s="79">
        <v>1.0</v>
      </c>
      <c r="E29" s="77">
        <v>1.0</v>
      </c>
      <c r="F29" s="72"/>
      <c r="G29" s="77"/>
      <c r="H29" s="72"/>
      <c r="I29" s="72"/>
      <c r="J29" s="72"/>
      <c r="K29" s="72"/>
      <c r="L29" s="72"/>
      <c r="M29" s="72"/>
      <c r="N29" s="72"/>
      <c r="O29" s="72"/>
      <c r="P29" s="72"/>
      <c r="Q29" s="73" t="s">
        <v>561</v>
      </c>
      <c r="R29" s="1"/>
    </row>
    <row r="30" ht="21.75" customHeight="1">
      <c r="A30" s="1"/>
      <c r="B30" s="81" t="s">
        <v>562</v>
      </c>
      <c r="C30" s="82" t="s">
        <v>563</v>
      </c>
      <c r="D30" s="79">
        <v>1.0</v>
      </c>
      <c r="E30" s="77">
        <v>1.0</v>
      </c>
      <c r="F30" s="72"/>
      <c r="G30" s="77"/>
      <c r="H30" s="72"/>
      <c r="I30" s="72"/>
      <c r="J30" s="72"/>
      <c r="K30" s="72"/>
      <c r="L30" s="72"/>
      <c r="M30" s="72"/>
      <c r="N30" s="72"/>
      <c r="O30" s="72"/>
      <c r="P30" s="72"/>
      <c r="Q30" s="73" t="s">
        <v>561</v>
      </c>
      <c r="R30" s="1"/>
    </row>
    <row r="31" ht="21.75" customHeight="1">
      <c r="A31" s="1"/>
      <c r="B31" s="84" t="s">
        <v>564</v>
      </c>
      <c r="C31" s="75" t="s">
        <v>565</v>
      </c>
      <c r="D31" s="79">
        <v>1.0</v>
      </c>
      <c r="E31" s="77">
        <v>1.0</v>
      </c>
      <c r="F31" s="72"/>
      <c r="G31" s="77"/>
      <c r="H31" s="72"/>
      <c r="I31" s="72"/>
      <c r="J31" s="72"/>
      <c r="K31" s="72"/>
      <c r="L31" s="72"/>
      <c r="M31" s="72"/>
      <c r="N31" s="72"/>
      <c r="O31" s="72"/>
      <c r="P31" s="72"/>
      <c r="Q31" s="73" t="s">
        <v>561</v>
      </c>
      <c r="R31" s="1"/>
    </row>
    <row r="32" ht="15.75" customHeight="1">
      <c r="A32" s="1"/>
      <c r="B32" s="1"/>
      <c r="C32" s="1"/>
      <c r="D32" s="1"/>
      <c r="E32" s="1"/>
      <c r="F32" s="1"/>
      <c r="G32" s="7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6" t="s">
        <v>566</v>
      </c>
      <c r="R33" s="1"/>
    </row>
    <row r="34" ht="15.75" customHeight="1">
      <c r="A34" s="1"/>
      <c r="B34" s="129" t="s">
        <v>567</v>
      </c>
      <c r="C34" s="129" t="s">
        <v>568</v>
      </c>
      <c r="D34" s="129" t="s">
        <v>569</v>
      </c>
      <c r="E34" s="129" t="s">
        <v>440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7" t="s">
        <v>570</v>
      </c>
      <c r="C35" s="138" t="s">
        <v>571</v>
      </c>
      <c r="D35" s="138" t="s">
        <v>572</v>
      </c>
      <c r="E35" s="139" t="s">
        <v>573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0" t="s">
        <v>574</v>
      </c>
      <c r="C36" s="141" t="s">
        <v>575</v>
      </c>
      <c r="D36" s="141" t="s">
        <v>576</v>
      </c>
      <c r="E36" s="141" t="s">
        <v>577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7" t="s">
        <v>578</v>
      </c>
      <c r="C37" s="138" t="s">
        <v>579</v>
      </c>
      <c r="D37" s="138" t="s">
        <v>580</v>
      </c>
      <c r="E37" s="141" t="s">
        <v>577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0" t="s">
        <v>581</v>
      </c>
      <c r="C38" s="141" t="s">
        <v>582</v>
      </c>
      <c r="D38" s="141" t="s">
        <v>583</v>
      </c>
      <c r="E38" s="139" t="s">
        <v>573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7" t="s">
        <v>584</v>
      </c>
      <c r="C39" s="138" t="s">
        <v>585</v>
      </c>
      <c r="D39" s="138" t="s">
        <v>586</v>
      </c>
      <c r="E39" s="138" t="s">
        <v>587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0" t="s">
        <v>588</v>
      </c>
      <c r="C40" s="141" t="s">
        <v>589</v>
      </c>
      <c r="D40" s="141" t="s">
        <v>590</v>
      </c>
      <c r="E40" s="142" t="s">
        <v>591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7" t="s">
        <v>592</v>
      </c>
      <c r="C41" s="138" t="s">
        <v>593</v>
      </c>
      <c r="D41" s="138" t="s">
        <v>594</v>
      </c>
      <c r="E41" s="141" t="s">
        <v>577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0" t="s">
        <v>595</v>
      </c>
      <c r="C42" s="141" t="s">
        <v>596</v>
      </c>
      <c r="D42" s="141" t="s">
        <v>597</v>
      </c>
      <c r="E42" s="139" t="s">
        <v>573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7" t="s">
        <v>598</v>
      </c>
      <c r="C43" s="138" t="s">
        <v>599</v>
      </c>
      <c r="D43" s="138" t="s">
        <v>600</v>
      </c>
      <c r="E43" s="139" t="s">
        <v>573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0" t="s">
        <v>601</v>
      </c>
      <c r="C44" s="141" t="s">
        <v>602</v>
      </c>
      <c r="D44" s="141" t="s">
        <v>603</v>
      </c>
      <c r="E44" s="141" t="s">
        <v>577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7" t="s">
        <v>604</v>
      </c>
      <c r="C45" s="138" t="s">
        <v>605</v>
      </c>
      <c r="D45" s="138" t="s">
        <v>606</v>
      </c>
      <c r="E45" s="143" t="s">
        <v>607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0" t="s">
        <v>608</v>
      </c>
      <c r="C46" s="141" t="s">
        <v>609</v>
      </c>
      <c r="D46" s="141" t="s">
        <v>610</v>
      </c>
      <c r="E46" s="139" t="s">
        <v>573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611</v>
      </c>
      <c r="R48" s="1"/>
    </row>
    <row r="49" ht="24.75" customHeight="1">
      <c r="A49" s="1"/>
      <c r="B49" s="144" t="s">
        <v>612</v>
      </c>
      <c r="C49" s="87" t="s">
        <v>613</v>
      </c>
      <c r="R49" s="1"/>
    </row>
    <row r="50" ht="24.75" customHeight="1">
      <c r="A50" s="1"/>
      <c r="B50" s="144" t="s">
        <v>614</v>
      </c>
      <c r="C50" s="145" t="s">
        <v>615</v>
      </c>
      <c r="R50" s="1"/>
    </row>
    <row r="51" ht="24.75" customHeight="1">
      <c r="A51" s="1"/>
      <c r="B51" s="144" t="s">
        <v>616</v>
      </c>
      <c r="C51" s="87" t="s">
        <v>617</v>
      </c>
      <c r="R51" s="1"/>
    </row>
    <row r="52" ht="24.75" customHeight="1">
      <c r="A52" s="1"/>
      <c r="B52" s="144" t="s">
        <v>618</v>
      </c>
      <c r="C52" s="145" t="s">
        <v>619</v>
      </c>
      <c r="R52" s="1"/>
    </row>
    <row r="53" ht="24.75" customHeight="1">
      <c r="A53" s="1"/>
      <c r="B53" s="144" t="s">
        <v>620</v>
      </c>
      <c r="C53" s="87" t="s">
        <v>621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