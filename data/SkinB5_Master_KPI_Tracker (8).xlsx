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Instructions" sheetId="1" r:id="rId4"/>
    <sheet state="visible" name="🛒 Shopify &amp; Revenue" sheetId="2" r:id="rId5"/>
    <sheet state="visible" name="📧 Email &amp; CRM" sheetId="3" r:id="rId6"/>
    <sheet state="visible" name="📱 Social Media" sheetId="4" r:id="rId7"/>
    <sheet state="visible" name="🏥 Clinic Pipeline" sheetId="5" r:id="rId8"/>
    <sheet state="visible" name="🌏 Asia Sales" sheetId="6" r:id="rId9"/>
    <sheet state="visible" name="💰 Paid Ads" sheetId="7" r:id="rId10"/>
    <sheet state="visible" name="📊 Dashboard Summary" sheetId="8" r:id="rId11"/>
    <sheet state="visible" name="✍️ Substack" sheetId="9" r:id="rId12"/>
  </sheets>
  <definedNames/>
  <calcPr/>
  <extLst>
    <ext uri="GoogleSheetsCustomDataVersion2">
      <go:sheetsCustomData xmlns:go="http://customooxmlschemas.google.com/" r:id="rId13" roundtripDataChecksum="XJgH5OI+CgPyyzshg9OmLJI9SuYuqc1PpvBv1ByF7N4="/>
    </ext>
  </extLst>
</workbook>
</file>

<file path=xl/sharedStrings.xml><?xml version="1.0" encoding="utf-8"?>
<sst xmlns="http://schemas.openxmlformats.org/spreadsheetml/2006/main" count="1038" uniqueCount="626">
  <si>
    <t>SkinB5 Growth 2026 — Master KPI Tracker  |  Weekly Update Guide for Digital Marketing Specialist</t>
  </si>
  <si>
    <t>🔵 Blue = your input   ⚫ Black = auto-calculated   🟡 Yellow highlight = must update this week   Update every Monday by 8:45am AEST</t>
  </si>
  <si>
    <t>COLOUR LEGEND</t>
  </si>
  <si>
    <t>Sample</t>
  </si>
  <si>
    <t>Blue text on yellow = INPUT CELL — type your number here</t>
  </si>
  <si>
    <t>Blue text on white = input cell (non-urgent)</t>
  </si>
  <si>
    <t>Black text = formula auto-calculates — DO NOT type here</t>
  </si>
  <si>
    <t>Green text = pulled from another sheet automatically</t>
  </si>
  <si>
    <t>Red background = behind target — needs attention</t>
  </si>
  <si>
    <t>Gold background = watch — approaching risk</t>
  </si>
  <si>
    <t>STEP-BY-STEP — EVERY MONDAY MORNING</t>
  </si>
  <si>
    <t>Step 1: Open this file</t>
  </si>
  <si>
    <t>Always use the latest version from Google Drive. Check the filename date.</t>
  </si>
  <si>
    <t>⏱ 5 min</t>
  </si>
  <si>
    <t>Step 2: Go to 🛒 Shopify (Auto)</t>
  </si>
  <si>
    <t>This sheet MOSTLY auto-fills if Shopify is connected. Check that totals look right. Add any manual overrides in blue cells.</t>
  </si>
  <si>
    <t>Step 3: Go to 📧 Email &amp; CRM</t>
  </si>
  <si>
    <t>Log into Klaviyo. Pull: list size, welcome flow CVR, win-back CVR, campaign open rates. Enter in blue cells.</t>
  </si>
  <si>
    <t>⏱ 10 min</t>
  </si>
  <si>
    <t>Step 4: Go to 📱 Social Media</t>
  </si>
  <si>
    <t>Log into TikTok Business Centre + Meta Business Suite + GA4. Pull weekly figures for each platform.</t>
  </si>
  <si>
    <t>Step 5: Go to 🏥 Clinic Pipeline</t>
  </si>
  <si>
    <t>Update how many clinics were pitched, meetings booked, and closed this week. Comes from your own outreach log.</t>
  </si>
  <si>
    <t>Step 6: Go to 🌏 Asia Sales</t>
  </si>
  <si>
    <t>Enter China MTD sales + days elapsed. Enter South Korea monthly sales. Convert to AUD first using xe.com.</t>
  </si>
  <si>
    <t>Step 7: Go to 💰 Paid Ads</t>
  </si>
  <si>
    <t>Log into Meta Ads Manager, TikTok Ads Manager, AND Google Ads (ads.google.com). Pull spend, ROAS, CPC, and CAC for all three platforms.</t>
  </si>
  <si>
    <t>Step 8: Check 📊 Dashboard Summary</t>
  </si>
  <si>
    <t>Glance at the summary tab. If anything shows red or is blank, go back and fix. Save + share with founder.</t>
  </si>
  <si>
    <t>⏱ 2 min</t>
  </si>
  <si>
    <t>TOTAL TIME REQUIRED EACH MONDAY</t>
  </si>
  <si>
    <t>~45 minutes</t>
  </si>
  <si>
    <t>Shopify &amp; Revenue — Weekly KPI Log  |  90-Day Sprint</t>
  </si>
  <si>
    <t>KPI Metric</t>
  </si>
  <si>
    <t>Data Source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</si>
  <si>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</si>
  <si>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</si>
  <si>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</si>
  <si>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</si>
  <si>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</si>
  <si>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</si>
  <si>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</si>
  <si>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</si>
  <si>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</si>
  <si>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</si>
  <si>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</si>
  <si>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</si>
  <si>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</si>
  <si>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90d Target</t>
  </si>
  <si>
    <t>Latest Status</t>
  </si>
  <si>
    <t>💰 REVENUE — Pull from Shopify Analytics every Monday</t>
  </si>
  <si>
    <t>Weekly revenue (AUD)</t>
  </si>
  <si>
    <t>Shopify Analytics</t>
  </si>
  <si>
    <t>$5,500/wk by W13</t>
  </si>
  <si>
    <t>→ Update weekly</t>
  </si>
  <si>
    <t>Monthly revenue MTD (AUD)</t>
  </si>
  <si>
    <t>$22,000/mo by Day 90</t>
  </si>
  <si>
    <t>Number of orders (week)</t>
  </si>
  <si>
    <t>Track trend</t>
  </si>
  <si>
    <t>Average order value — AOV (AUD)</t>
  </si>
  <si>
    <t>Shopify Analytics → Reports</t>
  </si>
  <si>
    <t>Target +15% vs baseline</t>
  </si>
  <si>
    <t>New customer revenue (AUD)</t>
  </si>
  <si>
    <t>Shopify Customers report</t>
  </si>
  <si>
    <t>$866.25</t>
  </si>
  <si>
    <t>$719.38</t>
  </si>
  <si>
    <t>Track vs returning</t>
  </si>
  <si>
    <t>Returning customer revenue (AUD)</t>
  </si>
  <si>
    <t>$1673.97</t>
  </si>
  <si>
    <t>$1574.95</t>
  </si>
  <si>
    <t>$2,09.38</t>
  </si>
  <si>
    <t>Target &gt;50% of total</t>
  </si>
  <si>
    <t>👥 CUSTOMER METRICS — Pull from Shopify Analytics → Customers</t>
  </si>
  <si>
    <t>New customers this week</t>
  </si>
  <si>
    <t>Shopify → Customers</t>
  </si>
  <si>
    <t>Returning customers this week</t>
  </si>
  <si>
    <t>Repeat purchase rate (%)</t>
  </si>
  <si>
    <t>Shopify → Customers → Returning rate</t>
  </si>
  <si>
    <t>&gt;35%</t>
  </si>
  <si>
    <t>Customer lifetime value — LTV (AUD)</t>
  </si>
  <si>
    <t>Shopify → Customers → LTV report</t>
  </si>
  <si>
    <t>+20% over 90 days</t>
  </si>
  <si>
    <t>Churn rate — % customers not re-buying</t>
  </si>
  <si>
    <t>Shopify / manual calc</t>
  </si>
  <si>
    <t>56%%</t>
  </si>
  <si>
    <t>&lt;30%</t>
  </si>
  <si>
    <t>Total active customers (cumulative)</t>
  </si>
  <si>
    <t>🛒 CONVERSION — Pull from Shopify Analytics → Online Store</t>
  </si>
  <si>
    <t>Online store sessions (week)</t>
  </si>
  <si>
    <t>Shopify Analytics → Sessions</t>
  </si>
  <si>
    <t>2,000+ new/wk</t>
  </si>
  <si>
    <t>Store conversion rate (%)</t>
  </si>
  <si>
    <t>&gt;2.5%</t>
  </si>
  <si>
    <t>Add to cart rate (%)</t>
  </si>
  <si>
    <t>Shopify Analytics → Behaviour</t>
  </si>
  <si>
    <t>&gt;8%</t>
  </si>
  <si>
    <t>Checkout completion rate (%)</t>
  </si>
  <si>
    <t>&gt;65%</t>
  </si>
  <si>
    <t>Cart abandonment rate (%)</t>
  </si>
  <si>
    <t>Shopify / Klaviyo</t>
  </si>
  <si>
    <t>&lt;35%</t>
  </si>
  <si>
    <t>Email &amp; CRM — Weekly KPI Log  |  90-Day Sprint</t>
  </si>
  <si>
    <t>📧 EMAIL LIST — Pull from instant → Audience</t>
  </si>
  <si>
    <t>Total email subscribers</t>
  </si>
  <si>
    <t>Shopify → Lists &amp; Segments</t>
  </si>
  <si>
    <t>Grow weekly</t>
  </si>
  <si>
    <t>Active / engaged subscribers</t>
  </si>
  <si>
    <t>Klaviyo → Segments → Engaged 90d</t>
  </si>
  <si>
    <t>Track %</t>
  </si>
  <si>
    <t>New subscribers added this week</t>
  </si>
  <si>
    <t>Klaviyo → Growth report</t>
  </si>
  <si>
    <t>+50/wk</t>
  </si>
  <si>
    <t>Unsubscribe Shoppers %</t>
  </si>
  <si>
    <t>Klaviyo → Campaign metrics</t>
  </si>
  <si>
    <t>&lt;0.2%</t>
  </si>
  <si>
    <t>💌 FLOWS PERFORMANCE — Pull from Instant → Flows</t>
  </si>
  <si>
    <t>Welcome series — emails sent</t>
  </si>
  <si>
    <t>Instant → Flows → Welcome</t>
  </si>
  <si>
    <t>—</t>
  </si>
  <si>
    <t>Welcome series — open rate (%)</t>
  </si>
  <si>
    <t>Welcome series — click rate (%)</t>
  </si>
  <si>
    <t>&gt;5%</t>
  </si>
  <si>
    <t>Welcome series — CVR / purchase rate (%)</t>
  </si>
  <si>
    <t>Instant→ Flows → Welcome → Placed Order</t>
  </si>
  <si>
    <t>&gt;3%</t>
  </si>
  <si>
    <t>Welcome series — revenue generated (AUD)</t>
  </si>
  <si>
    <t>Instant → Flows → Welcome → Revenue</t>
  </si>
  <si>
    <t>Track vs $85K 90d target</t>
  </si>
  <si>
    <t>Win-back flow — emails sent</t>
  </si>
  <si>
    <t>Instant → Flows → Win-back</t>
  </si>
  <si>
    <t>Win-back flow — open rate (%)</t>
  </si>
  <si>
    <t>Instant→ Flows → Win-back</t>
  </si>
  <si>
    <t>&gt;28%</t>
  </si>
  <si>
    <t>Win-back flow — CVR / purchase rate (%)</t>
  </si>
  <si>
    <t>Instant → Flows → Win-back → Placed Order</t>
  </si>
  <si>
    <t>Win-back flow — revenue generated (AUD)</t>
  </si>
  <si>
    <t>Instant → Flows → Win-back → Revenue</t>
  </si>
  <si>
    <t>Track vs $42K 90d target</t>
  </si>
  <si>
    <t>Abandoned cart flow — recovery rate (%)</t>
  </si>
  <si>
    <t>Instant → Flows → Abandoned Cart</t>
  </si>
  <si>
    <t>5.,3%</t>
  </si>
  <si>
    <t>&gt;15%</t>
  </si>
  <si>
    <t>📣 CAMPAIGN PERFORMANCE — Pull from Klaviyo → Campaigns (weekly sends only)</t>
  </si>
  <si>
    <t>Campaign open rate (%)</t>
  </si>
  <si>
    <t>Klaviyo → Campaigns → latest send</t>
  </si>
  <si>
    <t>&gt;25%</t>
  </si>
  <si>
    <t>Campaign click-through rate (%)</t>
  </si>
  <si>
    <t>Campaign revenue (AUD)</t>
  </si>
  <si>
    <t>Klaviyo → Campaigns → Revenue attributed</t>
  </si>
  <si>
    <t>N/a</t>
  </si>
  <si>
    <t>🎯 PROSPECT SEGMENT — Pull from Klaviyo → Segment: 'Prospects / Never Purchased'</t>
  </si>
  <si>
    <t>Prospect list size (never purchased)</t>
  </si>
  <si>
    <t>Klaviyo → Segment → Never Purchased</t>
  </si>
  <si>
    <t>Baseline first, then track</t>
  </si>
  <si>
    <t>Prospects converted this week</t>
  </si>
  <si>
    <t>Klaviyo → Segment → Placed first order</t>
  </si>
  <si>
    <t>Track toward $85K total</t>
  </si>
  <si>
    <t>Prospect CVR this week (%)</t>
  </si>
  <si>
    <t>Klaviyo calculated</t>
  </si>
  <si>
    <t>⚡ INSTANTAI — Automated Flows (welcome · win-back · abandoned cart · post-purchase)</t>
  </si>
  <si>
    <t>InstantAI flow revenue this week (AUD)</t>
  </si>
  <si>
    <t>InstantAI dashboard → Overview → Revenue this week</t>
  </si>
  <si>
    <t>Track trend — biggest lever</t>
  </si>
  <si>
    <t>InstantAI flow CVR — all flows combined (%)</t>
  </si>
  <si>
    <t>InstantAI dashboard → Flows → conversion rate</t>
  </si>
  <si>
    <t>Target: &gt;3%</t>
  </si>
  <si>
    <t>InstantAI abandoned cart recovery rate (%)</t>
  </si>
  <si>
    <t>InstantAI dashboard → Abandoned Cart flow → recovery rate</t>
  </si>
  <si>
    <t>Target: &gt;15% (currently ~3.7%)</t>
  </si>
  <si>
    <t>InstantAI active flows running (count)</t>
  </si>
  <si>
    <t>InstantAI dashboard → Flows → count of active flows</t>
  </si>
  <si>
    <t>Should be 4: welcome, win-back, cart, post-purchase</t>
  </si>
  <si>
    <t>📣 KLAVIYO — Campaign Sends (promotions, product launches, seasonal) — only fill when a campaign was sent</t>
  </si>
  <si>
    <t>Klaviyo campaign revenue this week (AUD)</t>
  </si>
  <si>
    <t>Klaviyo → Campaigns → last send → Revenue attributed</t>
  </si>
  <si>
    <t>Track per campaign — leave blank if no send</t>
  </si>
  <si>
    <t>Klaviyo campaign open rate (%)</t>
  </si>
  <si>
    <t>Klaviyo → Campaigns → last send → Open rate</t>
  </si>
  <si>
    <t>Target: &gt;25%</t>
  </si>
  <si>
    <t>Klaviyo campaign click-through rate (%)</t>
  </si>
  <si>
    <t>Klaviyo → Campaigns → last send → CTR</t>
  </si>
  <si>
    <t>Klaviyo unsubscribe rate (%)</t>
  </si>
  <si>
    <t>Klaviyo → Campaigns → last send → Unsubscribe rate</t>
  </si>
  <si>
    <t>Target: &lt;0.2% — alert if higher</t>
  </si>
  <si>
    <t>📊 COMBINED EMAIL SUMMARY — Auto-calculated from above. Check these numbers in Monday review.</t>
  </si>
  <si>
    <t>Total email list size (Klaviyo + InstantAI subscribers)</t>
  </si>
  <si>
    <t>Klaviyo → Audience → All subscribers (source of truth for total list)</t>
  </si>
  <si>
    <t>Grow weekly — note new subs from each source</t>
  </si>
  <si>
    <t>New subscribers added this week (total)</t>
  </si>
  <si>
    <t>Klaviyo → Growth report → new this week</t>
  </si>
  <si>
    <t>Target: +50/week</t>
  </si>
  <si>
    <t>📌 NOTE FOR SPECIALIST — How to find InstantAI numbers</t>
  </si>
  <si>
    <t>InstantAI dashboard: login at your InstantAI account → Overview shows weekly revenue → Flows tab shows CVR and cart recovery rate → Active flows tab shows count of running flows. Leave InstantAI cells blank for any week where InstantAI had no sends/activity.</t>
  </si>
  <si>
    <t>Social Media — Weekly KPI Log  |  90-Day Sprint</t>
  </si>
  <si>
    <t>🎵 TIKTOK — Pull from TikTok Business Centre → Analytics</t>
  </si>
  <si>
    <t>Followers (total)</t>
  </si>
  <si>
    <t>TikTok Business Centre</t>
  </si>
  <si>
    <t>10.8k</t>
  </si>
  <si>
    <t>+3,000 by Day 90</t>
  </si>
  <si>
    <t>New followers this week</t>
  </si>
  <si>
    <t>+230/wk avg</t>
  </si>
  <si>
    <t>Total video views this week</t>
  </si>
  <si>
    <t>TikTok Analytics → Content</t>
  </si>
  <si>
    <t>Average views per video</t>
  </si>
  <si>
    <t>16.4k</t>
  </si>
  <si>
    <t>&gt;5,000 avg</t>
  </si>
  <si>
    <t>Engagement rate (%)</t>
  </si>
  <si>
    <t>(Likes+Comments+Shares)/Views</t>
  </si>
  <si>
    <t>&gt;4%</t>
  </si>
  <si>
    <t>Profile visits from content</t>
  </si>
  <si>
    <t>TikTok Analytics → Profile</t>
  </si>
  <si>
    <t>Click-through to website</t>
  </si>
  <si>
    <t>TikTok Analytics → Website clicks</t>
  </si>
  <si>
    <t>Number of videos posted</t>
  </si>
  <si>
    <t>Manual count</t>
  </si>
  <si>
    <t>5 per week</t>
  </si>
  <si>
    <t>📸 INSTAGRAM — Pull from Meta Business Suite → Insights</t>
  </si>
  <si>
    <t>Meta Business Suite → Audience</t>
  </si>
  <si>
    <t>19.8k</t>
  </si>
  <si>
    <t>19.7k</t>
  </si>
  <si>
    <t>Meta Business Suite</t>
  </si>
  <si>
    <t>Weekly reach (unique accounts)</t>
  </si>
  <si>
    <t>Meta Business Suite → Reach</t>
  </si>
  <si>
    <t>2k</t>
  </si>
  <si>
    <t>1.8k</t>
  </si>
  <si>
    <t>1.9k</t>
  </si>
  <si>
    <t>1.7k</t>
  </si>
  <si>
    <t>3k</t>
  </si>
  <si>
    <t>10,000+/wk</t>
  </si>
  <si>
    <t>Weekly impressions</t>
  </si>
  <si>
    <t>Meta Business Suite → Impressions</t>
  </si>
  <si>
    <t>(Likes+Comments+Saves)/Reach</t>
  </si>
  <si>
    <t>Story views (weekly total)</t>
  </si>
  <si>
    <t>Meta Business Suite → Stories</t>
  </si>
  <si>
    <t>Reel plays (weekly total)</t>
  </si>
  <si>
    <t>Meta Business Suite → Reels</t>
  </si>
  <si>
    <t>11k</t>
  </si>
  <si>
    <t>Profile visits</t>
  </si>
  <si>
    <t>Meta Business Suite → Profile</t>
  </si>
  <si>
    <t>Website clicks from bio/stories</t>
  </si>
  <si>
    <t>Meta Business Suite → Links</t>
  </si>
  <si>
    <t>🌐 WEBSITE TRAFFIC — Pull from GA4 → Acquisition → Traffic</t>
  </si>
  <si>
    <t>Total sessions (week)</t>
  </si>
  <si>
    <t>GA4 → Reports → Acquisition</t>
  </si>
  <si>
    <t>1.1k</t>
  </si>
  <si>
    <t>Sessions from organic search</t>
  </si>
  <si>
    <t>GA4 → Acquisition → Source/Medium</t>
  </si>
  <si>
    <t>Sessions from social (TikTok + IG)</t>
  </si>
  <si>
    <t>2,000+/wk</t>
  </si>
  <si>
    <t>Sessions from email</t>
  </si>
  <si>
    <t>Sessions from paid ads</t>
  </si>
  <si>
    <t>Track vs spend</t>
  </si>
  <si>
    <t>Bounce rate (%)</t>
  </si>
  <si>
    <t>GA4 → Engagement rate (inverse)</t>
  </si>
  <si>
    <t>&lt;55%</t>
  </si>
  <si>
    <t>Avg session duration (seconds)</t>
  </si>
  <si>
    <t>GA4 → Engagement</t>
  </si>
  <si>
    <t>&gt;90 seconds</t>
  </si>
  <si>
    <t>New vs returning visitors — % new</t>
  </si>
  <si>
    <t>GA4 → User type</t>
  </si>
  <si>
    <t>80.9 New</t>
  </si>
  <si>
    <t>85%%</t>
  </si>
  <si>
    <t>✍️ CONTENT OUTPUT — Manual count each week</t>
  </si>
  <si>
    <t>TikTok videos posted</t>
  </si>
  <si>
    <t>5/week</t>
  </si>
  <si>
    <t>Instagram feed posts</t>
  </si>
  <si>
    <t>3/week</t>
  </si>
  <si>
    <t>Instagram stories posted</t>
  </si>
  <si>
    <t>Substack / blog posts published</t>
  </si>
  <si>
    <t>1/fortnight</t>
  </si>
  <si>
    <t>UGC / customer reposts shared</t>
  </si>
  <si>
    <t>2+/week</t>
  </si>
  <si>
    <t>Clinic Pipeline — Weekly KPI Log  |  90-Day Sprint</t>
  </si>
  <si>
    <t>🏥 OUTREACH PIPELINE — Manual update from your outreach log each week</t>
  </si>
  <si>
    <t>Clinics researched / identified (cumulative)</t>
  </si>
  <si>
    <t>Manual outreach log</t>
  </si>
  <si>
    <t>20+ by W4</t>
  </si>
  <si>
    <t>Outreach sent this week (emails/calls)</t>
  </si>
  <si>
    <t>5+/week</t>
  </si>
  <si>
    <t>Total outreach sent (cumulative)</t>
  </si>
  <si>
    <t>20 by W6</t>
  </si>
  <si>
    <t>Meetings / calls booked this week</t>
  </si>
  <si>
    <t>Calendar / manual log</t>
  </si>
  <si>
    <t>Track conversion</t>
  </si>
  <si>
    <t>Clinics closed / signed this week</t>
  </si>
  <si>
    <t>Manual log</t>
  </si>
  <si>
    <t>5 total by W8</t>
  </si>
  <si>
    <t>Total clinics signed (cumulative)</t>
  </si>
  <si>
    <t>5 by Day 60</t>
  </si>
  <si>
    <t>Outreach-to-meeting rate (%)</t>
  </si>
  <si>
    <t>Meetings booked ÷ outreach sent</t>
  </si>
  <si>
    <t>Meeting-to-close rate (%)</t>
  </si>
  <si>
    <t>Closed ÷ meetings held</t>
  </si>
  <si>
    <t>&gt;50%</t>
  </si>
  <si>
    <t>💵 CLINIC REVENUE — Pull from Shopify B2B orders or invoices each week</t>
  </si>
  <si>
    <t>Clinic orders received this week (AUD)</t>
  </si>
  <si>
    <t>Shopify → Orders tagged Clinic</t>
  </si>
  <si>
    <t>$5,000/mo by Day 90</t>
  </si>
  <si>
    <t>Number of active stocking clinics</t>
  </si>
  <si>
    <t>Average order value per clinic (AUD)</t>
  </si>
  <si>
    <t>Clinic revenue ÷ active clinics</t>
  </si>
  <si>
    <t>$1,000/mo per clinic</t>
  </si>
  <si>
    <t>Reorder rate — % clinics who reordered</t>
  </si>
  <si>
    <t>&gt;80%</t>
  </si>
  <si>
    <t>🎓 NATUROPATH EDUCATION — Track engagement with education module</t>
  </si>
  <si>
    <t>Naturopaths / practitioners contacted</t>
  </si>
  <si>
    <t>10+ by W6</t>
  </si>
  <si>
    <t>Education module downloads / views</t>
  </si>
  <si>
    <t>Google Drive / email tracking</t>
  </si>
  <si>
    <t>Practitioners who stocked after education</t>
  </si>
  <si>
    <t>Track CVR</t>
  </si>
  <si>
    <t>Asia Sales — Weekly KPI Log  |  90-Day Sprint</t>
  </si>
  <si>
    <t>🇨🇳 CHINA — MTD Sales vs Target  |  Convert CNY → AUD on xe.com before entering</t>
  </si>
  <si>
    <t>China MTD sales this month (AUD)</t>
  </si>
  <si>
    <t>WeChat distributor report / Tmall</t>
  </si>
  <si>
    <t>$3,000 May · Ramps to $6,500 Dec</t>
  </si>
  <si>
    <t>Days elapsed in current month</t>
  </si>
  <si>
    <t>Today's date (e.g. 7 for 7 May)</t>
  </si>
  <si>
    <t>China monthly target (AUD)</t>
  </si>
  <si>
    <t>Pre-set — only change if target changes</t>
  </si>
  <si>
    <t>$76,969</t>
  </si>
  <si>
    <t>$76,970</t>
  </si>
  <si>
    <t>$76,971</t>
  </si>
  <si>
    <t>See monthly target ramp</t>
  </si>
  <si>
    <t>China projected full-month run-rate (AUD)</t>
  </si>
  <si>
    <t>MTD divided by days elapsed, multiplied by days in month</t>
  </si>
  <si>
    <t>Should meet or beat target</t>
  </si>
  <si>
    <t>China % of monthly target</t>
  </si>
  <si>
    <t>Projected run-rate ÷ target</t>
  </si>
  <si>
    <t>7%%</t>
  </si>
  <si>
    <t>&gt;100%</t>
  </si>
  <si>
    <t>China KOLs activated (cumulative)</t>
  </si>
  <si>
    <t>3 by Day 60</t>
  </si>
  <si>
    <t>China WeChat followers / community size</t>
  </si>
  <si>
    <t>WeChat business account</t>
  </si>
  <si>
    <t>🇰🇷 SOUTH KOREA — Baseline tracking  |  Convert KRW → AUD (1 AUD ≈ 890 KRW)</t>
  </si>
  <si>
    <t>South Korea monthly sales (AUD)</t>
  </si>
  <si>
    <t>Distributor report / Shopify filter by KR</t>
  </si>
  <si>
    <t xml:space="preserve">$2,593.70 </t>
  </si>
  <si>
    <t xml:space="preserve">$1,615.96 </t>
  </si>
  <si>
    <t>A$2,400</t>
  </si>
  <si>
    <t>Baseline — target set after 3 months</t>
  </si>
  <si>
    <t>South Korea MoM change (AUD)</t>
  </si>
  <si>
    <t>This month minus last month</t>
  </si>
  <si>
    <t>Positive trend</t>
  </si>
  <si>
    <t>Korea KOLs seeded / activated</t>
  </si>
  <si>
    <t>2 by Day 60</t>
  </si>
  <si>
    <t>Korea distributor meetings held</t>
  </si>
  <si>
    <t>N/A</t>
  </si>
  <si>
    <t>1+ by Day 45</t>
  </si>
  <si>
    <t>🌏 ASIA COMBINED — Overall L4 Progress</t>
  </si>
  <si>
    <t>Total Asia revenue this week (AUD)</t>
  </si>
  <si>
    <t>China + Korea combined</t>
  </si>
  <si>
    <t>Foundation phase</t>
  </si>
  <si>
    <t>Market assets built — % complete</t>
  </si>
  <si>
    <t>Manual assessment</t>
  </si>
  <si>
    <t>100% by Day 75</t>
  </si>
  <si>
    <t>Distributor contacts in pipeline</t>
  </si>
  <si>
    <t>3+ by Day 45</t>
  </si>
  <si>
    <t>Post-90d revenue pipeline value (AUD)</t>
  </si>
  <si>
    <t>Deals in discussion — your estimate</t>
  </si>
  <si>
    <t>Build pipeline value</t>
  </si>
  <si>
    <t>Paid Ads — Weekly KPI Log  |  90-Day Sprint</t>
  </si>
  <si>
    <t>📣 META ADS (Facebook / Instagram) — Pull from Meta Ads Manager each Monday</t>
  </si>
  <si>
    <t>Meta weekly ad spend (AUD)</t>
  </si>
  <si>
    <t>Meta Ads Manager → Spend</t>
  </si>
  <si>
    <t>$210.62</t>
  </si>
  <si>
    <t>$169.32</t>
  </si>
  <si>
    <t>Track vs budget</t>
  </si>
  <si>
    <t>Meta revenue attributed (AUD)</t>
  </si>
  <si>
    <t>Meta Ads Manager → Purchase value</t>
  </si>
  <si>
    <t>$398.49</t>
  </si>
  <si>
    <t>$602.37</t>
  </si>
  <si>
    <t>$358.96</t>
  </si>
  <si>
    <t>ROAS &gt;2.5×</t>
  </si>
  <si>
    <t>Meta ROAS (return on ad spend)</t>
  </si>
  <si>
    <t>Revenue ÷ Spend</t>
  </si>
  <si>
    <t>&gt;2.5×</t>
  </si>
  <si>
    <t>Meta CPC — cost per click (AUD)</t>
  </si>
  <si>
    <t>Meta Ads Manager → CPC</t>
  </si>
  <si>
    <t>&lt;$1.20</t>
  </si>
  <si>
    <t>Meta CPM — cost per 1,000 impressions</t>
  </si>
  <si>
    <t>Meta Ads Manager → CPM</t>
  </si>
  <si>
    <t>Meta click-through rate (%)</t>
  </si>
  <si>
    <t>Meta Ads Manager → CTR</t>
  </si>
  <si>
    <t>&gt;1.5%</t>
  </si>
  <si>
    <t>Meta purchases this week</t>
  </si>
  <si>
    <t>Meta Ads Manager → Conversions</t>
  </si>
  <si>
    <t>Meta cost per purchase / CAC (AUD)</t>
  </si>
  <si>
    <t>Spend ÷ Purchases</t>
  </si>
  <si>
    <t>$52.66</t>
  </si>
  <si>
    <t>&lt;$30</t>
  </si>
  <si>
    <t>🎵 TIKTOK ADS (if running) — Pull from TikTok Ads Manager each Monday</t>
  </si>
  <si>
    <t>TikTok weekly ad spend (AUD)</t>
  </si>
  <si>
    <t>TikTok Ads Manager → Spend</t>
  </si>
  <si>
    <t>TikTok revenue attributed (AUD)</t>
  </si>
  <si>
    <t>TikTok Ads Manager → Purchase value</t>
  </si>
  <si>
    <t>TikTok ROAS</t>
  </si>
  <si>
    <t>TikTok CPC (AUD)</t>
  </si>
  <si>
    <t>TikTok Ads Manager → CPC</t>
  </si>
  <si>
    <t>&lt;$0.80</t>
  </si>
  <si>
    <t>TikTok video completion rate (%)</t>
  </si>
  <si>
    <t>TikTok Ads Manager → Video views</t>
  </si>
  <si>
    <t>TikTok cost per purchase / CAC (AUD)</t>
  </si>
  <si>
    <t>🟢 GOOGLE ADS — Pull from Google Ads Manager (ads.google.com) each Monday</t>
  </si>
  <si>
    <t>Google Ads weekly spend (AUD)</t>
  </si>
  <si>
    <t>Google Ads → Campaigns → Spend</t>
  </si>
  <si>
    <t>$397.45</t>
  </si>
  <si>
    <t>Google Ads revenue attributed (AUD)</t>
  </si>
  <si>
    <t>Google Ads → Conversions → Conv. value</t>
  </si>
  <si>
    <t>$1.14k</t>
  </si>
  <si>
    <t>$451.55</t>
  </si>
  <si>
    <t>ROAS &gt;3.0×</t>
  </si>
  <si>
    <t>Google Ads ROAS</t>
  </si>
  <si>
    <t>&gt;3.0×</t>
  </si>
  <si>
    <t>Google Ads CPC — cost per click (AUD)</t>
  </si>
  <si>
    <t>Google Ads → Keywords → Avg CPC</t>
  </si>
  <si>
    <t>&lt;$1.50</t>
  </si>
  <si>
    <t>Google Ads CTR — click-through rate (%)</t>
  </si>
  <si>
    <t>Google Ads → Campaigns → CTR</t>
  </si>
  <si>
    <t>Google Ads conversions (purchases)</t>
  </si>
  <si>
    <t>Google Ads → Conversions → Purchases</t>
  </si>
  <si>
    <t>Google Ads CAC — cost per purchase (AUD)</t>
  </si>
  <si>
    <t>$34.21`</t>
  </si>
  <si>
    <t>$47.96</t>
  </si>
  <si>
    <t>Google Ads Quality Score (avg)</t>
  </si>
  <si>
    <t>Google Ads → Keywords → Quality Score</t>
  </si>
  <si>
    <t>&gt;6/10</t>
  </si>
  <si>
    <t>📊 BLENDED ADS SUMMARY — Meta + TikTok + Google combined</t>
  </si>
  <si>
    <t>Meta + TikTok spend combined</t>
  </si>
  <si>
    <t>Total ad-attributed revenue (AUD)</t>
  </si>
  <si>
    <t>Meta + TikTok + Google revenue combined</t>
  </si>
  <si>
    <t>Blended ROAS</t>
  </si>
  <si>
    <t>Total revenue ÷ total spend</t>
  </si>
  <si>
    <t>Blended CAC (AUD)</t>
  </si>
  <si>
    <t>Total spend ÷ total new customers</t>
  </si>
  <si>
    <t>Ad spend as % of revenue (%)</t>
  </si>
  <si>
    <t>Spend ÷ Revenue</t>
  </si>
  <si>
    <t>&lt;25% of revenue</t>
  </si>
  <si>
    <t>SkinB5 Growth 2026 — Weekly KPI Summary  |  Read this in Monday review</t>
  </si>
  <si>
    <t>All figures auto-pull from input sheets. GREEN = on track  AMBER = watch  RED = behind</t>
  </si>
  <si>
    <t>Metric</t>
  </si>
  <si>
    <t>This Week (W1)</t>
  </si>
  <si>
    <t>90-Day Target</t>
  </si>
  <si>
    <t>Status</t>
  </si>
  <si>
    <t>Sheet to update</t>
  </si>
  <si>
    <t>Action if red</t>
  </si>
  <si>
    <t>REVENUE (L3 DTC engine)</t>
  </si>
  <si>
    <t>→ Enter data</t>
  </si>
  <si>
    <t>🛒 Shopify &amp; Revenue</t>
  </si>
  <si>
    <t>Check AOV + conversion rate</t>
  </si>
  <si>
    <t>Average order value (AUD)</t>
  </si>
  <si>
    <t>+15% vs baseline</t>
  </si>
  <si>
    <t>Add bundles / upsell to cart</t>
  </si>
  <si>
    <t>Review win-back flow + loyalty</t>
  </si>
  <si>
    <t>Customer LTV (AUD)</t>
  </si>
  <si>
    <t>+20% vs baseline</t>
  </si>
  <si>
    <t>Increase AOV + repeat rate</t>
  </si>
  <si>
    <t>Review product pages + UX</t>
  </si>
  <si>
    <t>EMAIL &amp; FLOWS (L3 DTC)</t>
  </si>
  <si>
    <t>Welcome flow CVR (%)</t>
  </si>
  <si>
    <t>📧 Email &amp; CRM</t>
  </si>
  <si>
    <t>Review email sequence copy</t>
  </si>
  <si>
    <t>Win-back CVR (%)</t>
  </si>
  <si>
    <t>Strengthen offer + urgency</t>
  </si>
  <si>
    <t>Prospect list converted this week</t>
  </si>
  <si>
    <t>Track vs $85K</t>
  </si>
  <si>
    <t>Check campaign send + CVR</t>
  </si>
  <si>
    <t>Email list growth (new subs)</t>
  </si>
  <si>
    <t>+50/week</t>
  </si>
  <si>
    <t>Review lead magnet / pop-up</t>
  </si>
  <si>
    <t>SOCIAL MEDIA (L1 Brand Virality)</t>
  </si>
  <si>
    <t>TikTok avg video views</t>
  </si>
  <si>
    <t>📱 Social Media</t>
  </si>
  <si>
    <t>Review hook + posting time</t>
  </si>
  <si>
    <t>Instagram weekly reach</t>
  </si>
  <si>
    <t>Boost top posts, use Reels</t>
  </si>
  <si>
    <t>Sessions from social (GA4)</t>
  </si>
  <si>
    <t>Add stronger CTA to bio/stories</t>
  </si>
  <si>
    <t>TikTok engagement rate (%)</t>
  </si>
  <si>
    <t>Respond to comments, post Q&amp;A</t>
  </si>
  <si>
    <t>Content output — TikToks posted</t>
  </si>
  <si>
    <t>Batch-film content on one day</t>
  </si>
  <si>
    <t>CLINIC DISTRIBUTION (L2)</t>
  </si>
  <si>
    <t>🏥 Clinic Pipeline</t>
  </si>
  <si>
    <t>Increase outreach volume</t>
  </si>
  <si>
    <t>Clinic revenue this week (AUD)</t>
  </si>
  <si>
    <t>$5K/mo by Day 90</t>
  </si>
  <si>
    <t>Follow up on reorders</t>
  </si>
  <si>
    <t>Outreach sent this week</t>
  </si>
  <si>
    <t>Block time in calendar</t>
  </si>
  <si>
    <t>ASIA EXPANSION (L4)</t>
  </si>
  <si>
    <t>China MTD sales (AUD)</t>
  </si>
  <si>
    <t>$3,000 May target</t>
  </si>
  <si>
    <t>🌏 Asia Sales</t>
  </si>
  <si>
    <t>Chase distributor report</t>
  </si>
  <si>
    <t>China % of monthly target (%)</t>
  </si>
  <si>
    <t>Review KOL activity</t>
  </si>
  <si>
    <t>Baseline tracking</t>
  </si>
  <si>
    <t>Log distributor figures</t>
  </si>
  <si>
    <t>KOLs activated (combined)</t>
  </si>
  <si>
    <t>Prioritise KOL outreach</t>
  </si>
  <si>
    <t>PAID ADS</t>
  </si>
  <si>
    <t>💰 Paid Ads</t>
  </si>
  <si>
    <t>Pause underperforming ads</t>
  </si>
  <si>
    <t>Review audience targeting</t>
  </si>
  <si>
    <t>Total ad spend this week (AUD)</t>
  </si>
  <si>
    <t>Reallocate to best ROAS channel</t>
  </si>
  <si>
    <t>✍️ Substack — The Inside-Out Letter  |  Weekly KPI Log  |  Launched 26 May 2026 (W1 = week of 26 May)</t>
  </si>
  <si>
    <t>🔵 Blue cells = your input   |   W1 = week starting 26 May 2026   |   Source: Substack dashboard + Klaviyo + social platforms   |   Note: launched 1 week later than original plan</t>
  </si>
  <si>
    <t>📈 LEADING INDICATORS — Update every Monday from Substack dashboard</t>
  </si>
  <si>
    <t>Total Substack subscribers</t>
  </si>
  <si>
    <t>Substack dashboard → Stats</t>
  </si>
  <si>
    <t>800–2,000 by Day 90</t>
  </si>
  <si>
    <t>New subscribers this week</t>
  </si>
  <si>
    <t>Substack dashboard → Stats → New this week</t>
  </si>
  <si>
    <t>+60/wk by W12</t>
  </si>
  <si>
    <t>Posts published this week</t>
  </si>
  <si>
    <t>Manual count (should be 1/wk Tuesday 7am AEST)</t>
  </si>
  <si>
    <t>1 per week</t>
  </si>
  <si>
    <t>Post open rate (%)</t>
  </si>
  <si>
    <t>Substack dashboard → latest post → Open rate</t>
  </si>
  <si>
    <t>≥45%</t>
  </si>
  <si>
    <t>TikTok atoms shipped (videos from post)</t>
  </si>
  <si>
    <t>Manual count — TikToks posted from each Substack post</t>
  </si>
  <si>
    <t>3 per week</t>
  </si>
  <si>
    <t>IG carousel saves (per post)</t>
  </si>
  <si>
    <t>Meta Business Suite → latest IG carousel post → Saves</t>
  </si>
  <si>
    <t>≥80 saves/post</t>
  </si>
  <si>
    <t>Reader replies (email + DMs to Judy)</t>
  </si>
  <si>
    <t>Manual count — replies received after each post</t>
  </si>
  <si>
    <t>≥20/week</t>
  </si>
  <si>
    <t>💬 ENGAGEMENT INDICATORS — Update monthly (first Monday of each month)</t>
  </si>
  <si>
    <t>Average open rate last 4 posts (%)</t>
  </si>
  <si>
    <t>Substack → Stats → average of last 4 posts</t>
  </si>
  <si>
    <t>Anonymous Q&amp;A submissions this month</t>
  </si>
  <si>
    <t>Substack chat / typeform / email anon box</t>
  </si>
  <si>
    <t>≥40/month</t>
  </si>
  <si>
    <t>Founding Readers signed (cumulative)</t>
  </si>
  <si>
    <t>Manual count — loyalty customers who joined Substack</t>
  </si>
  <si>
    <t>100 by W12</t>
  </si>
  <si>
    <t>Reader of Month features published</t>
  </si>
  <si>
    <t>Manual count — 1 per month target</t>
  </si>
  <si>
    <t>3 by W12 (1/mo)</t>
  </si>
  <si>
    <t>💰 BUSINESS INDICATORS — Track revenue via unique subscriber code + UTM parameters</t>
  </si>
  <si>
    <t>Substack total subscribers → 1st purchase CVR (%)</t>
  </si>
  <si>
    <t>Shopify → UTM source=substack OR subscriber code used</t>
  </si>
  <si>
    <t>6–8% CVR</t>
  </si>
  <si>
    <t>Substack direct revenue (AUD) — cumulative</t>
  </si>
  <si>
    <t>Shopify → filter by subscriber discount code OR substack UTM</t>
  </si>
  <si>
    <t>$5K–$15K by Day 90</t>
  </si>
  <si>
    <t>Substack-acquired repeat purchase rate (%)</t>
  </si>
  <si>
    <t>Shopify → customers acquired via Substack → repeat rate</t>
  </si>
  <si>
    <t>Estimated halo revenue (2–3× direct)</t>
  </si>
  <si>
    <t>Manual estimate: direct revenue × 2.5</t>
  </si>
  <si>
    <t>$15K–$45K total</t>
  </si>
  <si>
    <t>New 1st-time customers from subscriber code</t>
  </si>
  <si>
    <t>Shopify → discount code report → new customers only</t>
  </si>
  <si>
    <t>48–144 by Day 90</t>
  </si>
  <si>
    <t>🔁 CROSS-PROMO CONTENT OUTPUT — Each Substack post should produce these atoms</t>
  </si>
  <si>
    <t>TikTok videos posted from this post</t>
  </si>
  <si>
    <t>Manual count — from Block 1 hook + Block 3 BS Watch</t>
  </si>
  <si>
    <t>3/week (from each post)</t>
  </si>
  <si>
    <t>IG carousel posts from this post</t>
  </si>
  <si>
    <t>Manual count — from Block 2 Science section</t>
  </si>
  <si>
    <t>1/week</t>
  </si>
  <si>
    <t>IG story polls from this post</t>
  </si>
  <si>
    <t>Manual count — from Block 6 Reader Question</t>
  </si>
  <si>
    <t>Email digest sent (Thursday Klaviyo)</t>
  </si>
  <si>
    <t>Klaviyo → Campaigns → Thursday digest</t>
  </si>
  <si>
    <t>📅 12-WEEK POST CALENDAR — Shifted 1 week (launch 26 May, not 19 May as planned)</t>
  </si>
  <si>
    <t>Week / Date</t>
  </si>
  <si>
    <t>Post title</t>
  </si>
  <si>
    <t>Content notes</t>
  </si>
  <si>
    <t>W1 — 26 May 2026</t>
  </si>
  <si>
    <t>I had acne for years and tried everything. Then I made my own vitamin.</t>
  </si>
  <si>
    <t>Founder origin · Lead with possibility not pain · Add Field Notes</t>
  </si>
  <si>
    <t>Keep+</t>
  </si>
  <si>
    <t>W2 — 2 Jun 2026</t>
  </si>
  <si>
    <t>The Medik8 recall &amp; the SPF industry's dirty little secret.</t>
  </si>
  <si>
    <t>BS Watch framing · Strongest post · TikTok: 60s rant</t>
  </si>
  <si>
    <t>Keep</t>
  </si>
  <si>
    <t>W3 — 9 Jun 2026</t>
  </si>
  <si>
    <t>Your acne is a symptom, not a problem.</t>
  </si>
  <si>
    <t>4-step story · Pathway diagram carousel</t>
  </si>
  <si>
    <t>W4 — 16 Jun 2026</t>
  </si>
  <si>
    <t>The 6 foods I eat every week (and the 3 I quietly stopped).</t>
  </si>
  <si>
    <t>Add community naming poll · Kitchen photos</t>
  </si>
  <si>
    <t>W5 — 23 Jun 2026</t>
  </si>
  <si>
    <t>Why my skincare company started in a forest, not a lab.</t>
  </si>
  <si>
    <t>Naturalist worldview · Wellness-first philosophy · WRITE FIRST</t>
  </si>
  <si>
    <t>NEW</t>
  </si>
  <si>
    <t>W6 — 30 Jun 2026</t>
  </si>
  <si>
    <t>Beauty BS Watch: how to read a supplement label.</t>
  </si>
  <si>
    <t>Launch recurring BS Watch series</t>
  </si>
  <si>
    <t>Reframe</t>
  </si>
  <si>
    <t>W7 — 7 Jul 2026</t>
  </si>
  <si>
    <t>The gut-skin axis.</t>
  </si>
  <si>
    <t>60s gut-skin TikTok · Gut foods carousel</t>
  </si>
  <si>
    <t>W8 — 14 Jul 2026</t>
  </si>
  <si>
    <t>Reader Q&amp;A: hormonal acne, adult breakouts.</t>
  </si>
  <si>
    <t>Monthly recurring last Tuesday · 3 Q&amp;A TikTok clips</t>
  </si>
  <si>
    <t>W9 — 21 Jul 2026</t>
  </si>
  <si>
    <t>The Inside-Out Skin Reset: 30-day protocol.</t>
  </si>
  <si>
    <t>Biggest lead magnet · PDF download · Subscriber-only price</t>
  </si>
  <si>
    <t>W10 — 28 Jul 2026</t>
  </si>
  <si>
    <t>Hormonal acne in your 30s &amp; 40s.</t>
  </si>
  <si>
    <t>Cycle &amp; skin carousel · Subscription model code</t>
  </si>
  <si>
    <t>W11 — 4 Aug 2026</t>
  </si>
  <si>
    <t>The peptide problem &amp; what to take instead.</t>
  </si>
  <si>
    <t>Debunk · Ingredient comparison · Pre-launch interest list</t>
  </si>
  <si>
    <t>Replace</t>
  </si>
  <si>
    <t>W12 — 11 Aug 2026</t>
  </si>
  <si>
    <t>3 months in: what you've taught me + Reader of the Quarter.</t>
  </si>
  <si>
    <t>Anonymous reader stories · Nature reflection · Loyalty offer</t>
  </si>
  <si>
    <t>DATA SOURCE NOTES FOR SPECIALIST</t>
  </si>
  <si>
    <t>Substack dashboard</t>
  </si>
  <si>
    <t>Go to substack.com → your publication → Stats tab. Shows total subscribers, new subscribers, and open rates.</t>
  </si>
  <si>
    <t>Subscriber code</t>
  </si>
  <si>
    <t>Create a unique Klaviyo / Shopify discount code (e.g. INSIDEOUT15) for Substack subscribers only. Track orders using this code.</t>
  </si>
  <si>
    <t>UTM tracking</t>
  </si>
  <si>
    <t>All links in Substack posts should use ?utm_source=substack&amp;utm_medium=email&amp;utm_campaign=inside-out-letter so Shopify/GA4 can attribute revenue.</t>
  </si>
  <si>
    <t>Revenue tracking</t>
  </si>
  <si>
    <t>In Shopify: Reports → Discount codes → filter by subscriber code. This is your direct Substack revenue. Halo = estimate 2–3× this number.</t>
  </si>
  <si>
    <t>Cross-promo atoms</t>
  </si>
  <si>
    <t>For every Substack post: 3 TikToks (Block 1 hook, Block 3 BS Watch, Block 4 Field Notes), 1 IG carousel (Block 2 science), 1 Thursday Klaviyo digest.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</si>
</sst>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\$#,##0.00"/>
    <numFmt numFmtId="165" formatCode="\$#,##0"/>
    <numFmt numFmtId="166" formatCode="0.0%"/>
    <numFmt numFmtId="167" formatCode="&quot;$&quot;#,##0.00"/>
    <numFmt numFmtId="168" formatCode="0.0\x"/>
    <numFmt numFmtId="169" formatCode="\$0.00"/>
    <numFmt numFmtId="170" formatCode="#,##0.0"/>
  </numFmts>
  <fonts count="27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rgb="FFFFFFFF"/>
      <name val="Arial"/>
    </font>
    <font/>
    <font>
      <b/>
      <sz val="9.0"/>
      <color rgb="FFFFF3B0"/>
      <name val="Arial"/>
    </font>
    <font>
      <b/>
      <sz val="10.0"/>
      <color rgb="FFFFFFFF"/>
      <name val="Arial"/>
    </font>
    <font>
      <b/>
      <sz val="10.0"/>
      <color rgb="FF0000FF"/>
      <name val="Arial"/>
    </font>
    <font>
      <sz val="10.0"/>
      <color rgb="FF333333"/>
      <name val="Arial"/>
    </font>
    <font>
      <b/>
      <sz val="10.0"/>
      <color rgb="FF000000"/>
      <name val="Arial"/>
    </font>
    <font>
      <b/>
      <sz val="10.0"/>
      <color rgb="FF008000"/>
      <name val="Arial"/>
    </font>
    <font>
      <b/>
      <sz val="10.0"/>
      <color rgb="FF335C67"/>
      <name val="Arial"/>
    </font>
    <font>
      <sz val="10.0"/>
      <color rgb="FFE09F3E"/>
      <name val="Arial"/>
    </font>
    <font>
      <b/>
      <sz val="11.0"/>
      <color rgb="FFFFFFFF"/>
      <name val="Arial"/>
    </font>
    <font>
      <sz val="10.0"/>
      <color rgb="FF555555"/>
      <name val="Arial"/>
    </font>
    <font>
      <b/>
      <sz val="10.0"/>
      <color rgb="FF9E2A2B"/>
      <name val="Arial"/>
    </font>
    <font>
      <sz val="10.0"/>
      <color rgb="FF888888"/>
      <name val="Arial"/>
    </font>
    <font>
      <b/>
      <color rgb="FF0000FF"/>
      <name val="Arial"/>
    </font>
    <font>
      <b/>
      <sz val="10.0"/>
      <color rgb="FF6B3FA0"/>
      <name val="Arial"/>
    </font>
    <font>
      <i/>
      <sz val="9.0"/>
      <color rgb="FF555555"/>
      <name val="Arial"/>
    </font>
    <font>
      <i/>
      <sz val="9.0"/>
      <color rgb="FF444444"/>
      <name val="Arial"/>
    </font>
    <font>
      <i/>
      <sz val="10.0"/>
      <color rgb="FF555555"/>
      <name val="Arial"/>
    </font>
    <font>
      <color rgb="FF555555"/>
      <name val="Arial"/>
    </font>
    <font>
      <sz val="10.0"/>
      <color rgb="FF008000"/>
      <name val="Arial"/>
    </font>
    <font>
      <i/>
      <sz val="9.0"/>
      <color rgb="FFFF6719"/>
      <name val="Arial"/>
    </font>
    <font>
      <b/>
      <sz val="10.0"/>
      <color rgb="FFFF6719"/>
      <name val="Arial"/>
    </font>
    <font>
      <b/>
      <sz val="9.0"/>
      <color rgb="FFFF6719"/>
      <name val="Arial"/>
    </font>
    <font>
      <sz val="9.0"/>
      <color rgb="FF333333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335C67"/>
        <bgColor rgb="FF335C67"/>
      </patternFill>
    </fill>
    <fill>
      <patternFill patternType="solid">
        <fgColor rgb="FF4A7C8A"/>
        <bgColor rgb="FF4A7C8A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F5D0D0"/>
        <bgColor rgb="FFF5D0D0"/>
      </patternFill>
    </fill>
    <fill>
      <patternFill patternType="solid">
        <fgColor rgb="FFFFF3B0"/>
        <bgColor rgb="FFFFF3B0"/>
      </patternFill>
    </fill>
    <fill>
      <patternFill patternType="solid">
        <fgColor rgb="FF9E2A2B"/>
        <bgColor rgb="FF9E2A2B"/>
      </patternFill>
    </fill>
    <fill>
      <patternFill patternType="solid">
        <fgColor rgb="FFD6E8EC"/>
        <bgColor rgb="FFD6E8EC"/>
      </patternFill>
    </fill>
    <fill>
      <patternFill patternType="solid">
        <fgColor rgb="FFE09F3E"/>
        <bgColor rgb="FFE09F3E"/>
      </patternFill>
    </fill>
    <fill>
      <patternFill patternType="solid">
        <fgColor rgb="FF540B0E"/>
        <bgColor rgb="FF540B0E"/>
      </patternFill>
    </fill>
    <fill>
      <patternFill patternType="solid">
        <fgColor rgb="FF6B3FA0"/>
        <bgColor rgb="FF6B3FA0"/>
      </patternFill>
    </fill>
    <fill>
      <patternFill patternType="solid">
        <fgColor rgb="FFF0E8FF"/>
        <bgColor rgb="FFF0E8FF"/>
      </patternFill>
    </fill>
    <fill>
      <patternFill patternType="solid">
        <fgColor rgb="FF888888"/>
        <bgColor rgb="FF888888"/>
      </patternFill>
    </fill>
    <fill>
      <patternFill patternType="solid">
        <fgColor rgb="FF1A6B3C"/>
        <bgColor rgb="FF1A6B3C"/>
      </patternFill>
    </fill>
    <fill>
      <patternFill patternType="solid">
        <fgColor rgb="FFFF6719"/>
        <bgColor rgb="FFFF6719"/>
      </patternFill>
    </fill>
    <fill>
      <patternFill patternType="solid">
        <fgColor rgb="FFFFF0E8"/>
        <bgColor rgb="FFFFF0E8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6" numFmtId="0" xfId="0" applyAlignment="1" applyBorder="1" applyFill="1" applyFont="1">
      <alignment horizontal="center" vertical="center"/>
    </xf>
    <xf borderId="1" fillId="5" fontId="7" numFmtId="0" xfId="0" applyAlignment="1" applyBorder="1" applyFill="1" applyFont="1">
      <alignment horizontal="left" vertical="center"/>
    </xf>
    <xf borderId="4" fillId="6" fontId="6" numFmtId="0" xfId="0" applyAlignment="1" applyBorder="1" applyFill="1" applyFont="1">
      <alignment horizontal="center" vertical="center"/>
    </xf>
    <xf borderId="4" fillId="6" fontId="8" numFmtId="0" xfId="0" applyAlignment="1" applyBorder="1" applyFont="1">
      <alignment horizontal="center" vertical="center"/>
    </xf>
    <xf borderId="4" fillId="6" fontId="9" numFmtId="0" xfId="0" applyAlignment="1" applyBorder="1" applyFont="1">
      <alignment horizontal="center" vertical="center"/>
    </xf>
    <xf borderId="4" fillId="7" fontId="8" numFmtId="0" xfId="0" applyAlignment="1" applyBorder="1" applyFill="1" applyFont="1">
      <alignment horizontal="center" vertical="center"/>
    </xf>
    <xf borderId="4" fillId="8" fontId="8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shrinkToFit="0" vertical="center" wrapText="1"/>
    </xf>
    <xf borderId="4" fillId="10" fontId="10" numFmtId="0" xfId="0" applyAlignment="1" applyBorder="1" applyFill="1" applyFont="1">
      <alignment horizontal="left" shrinkToFit="0" vertical="center" wrapText="1"/>
    </xf>
    <xf borderId="1" fillId="5" fontId="7" numFmtId="0" xfId="0" applyAlignment="1" applyBorder="1" applyFont="1">
      <alignment horizontal="left" shrinkToFit="0" vertical="center" wrapText="1"/>
    </xf>
    <xf borderId="4" fillId="8" fontId="1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shrinkToFit="0" vertical="center" wrapText="1"/>
    </xf>
    <xf borderId="4" fillId="11" fontId="5" numFmtId="0" xfId="0" applyAlignment="1" applyBorder="1" applyFill="1" applyFont="1">
      <alignment horizontal="center" vertical="center"/>
    </xf>
    <xf borderId="4" fillId="3" fontId="5" numFmtId="0" xfId="0" applyAlignment="1" applyBorder="1" applyFont="1">
      <alignment horizontal="left" vertical="center"/>
    </xf>
    <xf borderId="4" fillId="3" fontId="5" numFmtId="0" xfId="0" applyAlignment="1" applyBorder="1" applyFont="1">
      <alignment horizontal="center" vertical="center"/>
    </xf>
    <xf borderId="4" fillId="2" fontId="5" numFmtId="0" xfId="0" applyAlignment="1" applyBorder="1" applyFont="1">
      <alignment horizontal="center" vertical="center"/>
    </xf>
    <xf borderId="4" fillId="12" fontId="5" numFmtId="0" xfId="0" applyAlignment="1" applyBorder="1" applyFill="1" applyFont="1">
      <alignment horizontal="center" vertical="center"/>
    </xf>
    <xf borderId="1" fillId="2" fontId="5" numFmtId="0" xfId="0" applyAlignment="1" applyBorder="1" applyFont="1">
      <alignment horizontal="left" vertical="center"/>
    </xf>
    <xf borderId="4" fillId="5" fontId="10" numFmtId="0" xfId="0" applyAlignment="1" applyBorder="1" applyFont="1">
      <alignment horizontal="left" shrinkToFit="0" vertical="center" wrapText="1"/>
    </xf>
    <xf borderId="4" fillId="5" fontId="13" numFmtId="0" xfId="0" applyAlignment="1" applyBorder="1" applyFont="1">
      <alignment horizontal="center" shrinkToFit="0" vertical="center" wrapText="1"/>
    </xf>
    <xf borderId="4" fillId="4" fontId="6" numFmtId="164" xfId="0" applyAlignment="1" applyBorder="1" applyFont="1" applyNumberFormat="1">
      <alignment horizontal="center" vertical="center"/>
    </xf>
    <xf borderId="4" fillId="6" fontId="6" numFmtId="165" xfId="0" applyAlignment="1" applyBorder="1" applyFont="1" applyNumberFormat="1">
      <alignment horizontal="center" readingOrder="0" vertical="center"/>
    </xf>
    <xf borderId="4" fillId="6" fontId="6" numFmtId="165" xfId="0" applyAlignment="1" applyBorder="1" applyFont="1" applyNumberFormat="1">
      <alignment horizontal="center" vertical="center"/>
    </xf>
    <xf borderId="4" fillId="8" fontId="14" numFmtId="0" xfId="0" applyAlignment="1" applyBorder="1" applyFont="1">
      <alignment horizontal="center" vertical="center"/>
    </xf>
    <xf borderId="4" fillId="6" fontId="15" numFmtId="0" xfId="0" applyAlignment="1" applyBorder="1" applyFont="1">
      <alignment horizontal="center" vertical="center"/>
    </xf>
    <xf borderId="4" fillId="6" fontId="10" numFmtId="0" xfId="0" applyAlignment="1" applyBorder="1" applyFont="1">
      <alignment horizontal="left" shrinkToFit="0" vertical="center" wrapText="1"/>
    </xf>
    <xf borderId="4" fillId="6" fontId="13" numFmtId="0" xfId="0" applyAlignment="1" applyBorder="1" applyFont="1">
      <alignment horizontal="center" shrinkToFit="0" vertical="center" wrapText="1"/>
    </xf>
    <xf borderId="4" fillId="4" fontId="6" numFmtId="3" xfId="0" applyAlignment="1" applyBorder="1" applyFont="1" applyNumberFormat="1">
      <alignment horizontal="center" readingOrder="0" vertical="center"/>
    </xf>
    <xf borderId="4" fillId="6" fontId="6" numFmtId="3" xfId="0" applyAlignment="1" applyBorder="1" applyFont="1" applyNumberFormat="1">
      <alignment horizontal="center" readingOrder="0" vertical="center"/>
    </xf>
    <xf borderId="4" fillId="6" fontId="16" numFmtId="3" xfId="0" applyAlignment="1" applyBorder="1" applyFont="1" applyNumberFormat="1">
      <alignment horizontal="center" readingOrder="0"/>
    </xf>
    <xf borderId="4" fillId="6" fontId="6" numFmtId="3" xfId="0" applyAlignment="1" applyBorder="1" applyFont="1" applyNumberFormat="1">
      <alignment horizontal="center" vertical="center"/>
    </xf>
    <xf borderId="4" fillId="6" fontId="6" numFmtId="164" xfId="0" applyAlignment="1" applyBorder="1" applyFont="1" applyNumberFormat="1">
      <alignment horizontal="center" readingOrder="0" vertical="center"/>
    </xf>
    <xf borderId="4" fillId="6" fontId="6" numFmtId="164" xfId="0" applyAlignment="1" applyBorder="1" applyFont="1" applyNumberFormat="1">
      <alignment horizontal="center" vertical="center"/>
    </xf>
    <xf borderId="4" fillId="4" fontId="6" numFmtId="165" xfId="0" applyAlignment="1" applyBorder="1" applyFont="1" applyNumberFormat="1">
      <alignment horizontal="center" vertical="center"/>
    </xf>
    <xf borderId="4" fillId="6" fontId="16" numFmtId="165" xfId="0" applyAlignment="1" applyBorder="1" applyFont="1" applyNumberFormat="1">
      <alignment horizontal="center"/>
    </xf>
    <xf borderId="1" fillId="3" fontId="5" numFmtId="0" xfId="0" applyAlignment="1" applyBorder="1" applyFont="1">
      <alignment horizontal="left" vertical="center"/>
    </xf>
    <xf borderId="4" fillId="4" fontId="6" numFmtId="3" xfId="0" applyAlignment="1" applyBorder="1" applyFont="1" applyNumberFormat="1">
      <alignment horizontal="center" vertical="center"/>
    </xf>
    <xf borderId="4" fillId="6" fontId="16" numFmtId="3" xfId="0" applyAlignment="1" applyBorder="1" applyFont="1" applyNumberFormat="1">
      <alignment horizontal="center"/>
    </xf>
    <xf borderId="4" fillId="4" fontId="6" numFmtId="166" xfId="0" applyAlignment="1" applyBorder="1" applyFont="1" applyNumberFormat="1">
      <alignment horizontal="center" vertical="center"/>
    </xf>
    <xf borderId="4" fillId="6" fontId="6" numFmtId="166" xfId="0" applyAlignment="1" applyBorder="1" applyFont="1" applyNumberFormat="1">
      <alignment horizontal="center" vertical="center"/>
    </xf>
    <xf borderId="4" fillId="6" fontId="16" numFmtId="166" xfId="0" applyAlignment="1" applyBorder="1" applyFont="1" applyNumberFormat="1">
      <alignment horizontal="center"/>
    </xf>
    <xf borderId="4" fillId="6" fontId="6" numFmtId="10" xfId="0" applyAlignment="1" applyBorder="1" applyFont="1" applyNumberFormat="1">
      <alignment horizontal="center" readingOrder="0" vertical="center"/>
    </xf>
    <xf borderId="4" fillId="6" fontId="6" numFmtId="166" xfId="0" applyAlignment="1" applyBorder="1" applyFont="1" applyNumberFormat="1">
      <alignment horizontal="center" readingOrder="0" vertical="center"/>
    </xf>
    <xf borderId="4" fillId="6" fontId="6" numFmtId="9" xfId="0" applyAlignment="1" applyBorder="1" applyFont="1" applyNumberFormat="1">
      <alignment horizontal="center" readingOrder="0" vertical="center"/>
    </xf>
    <xf borderId="4" fillId="4" fontId="6" numFmtId="165" xfId="0" applyAlignment="1" applyBorder="1" applyFont="1" applyNumberFormat="1">
      <alignment horizontal="center" readingOrder="0" vertical="center"/>
    </xf>
    <xf borderId="4" fillId="6" fontId="16" numFmtId="165" xfId="0" applyAlignment="1" applyBorder="1" applyFont="1" applyNumberFormat="1">
      <alignment horizontal="center" readingOrder="0"/>
    </xf>
    <xf borderId="4" fillId="6" fontId="6" numFmtId="9" xfId="0" applyAlignment="1" applyBorder="1" applyFont="1" applyNumberFormat="1">
      <alignment horizontal="center" vertical="center"/>
    </xf>
    <xf borderId="4" fillId="6" fontId="6" numFmtId="0" xfId="0" applyAlignment="1" applyBorder="1" applyFont="1">
      <alignment horizontal="center" readingOrder="0" vertical="center"/>
    </xf>
    <xf borderId="1" fillId="9" fontId="5" numFmtId="0" xfId="0" applyAlignment="1" applyBorder="1" applyFont="1">
      <alignment horizontal="left" readingOrder="0" vertical="center"/>
    </xf>
    <xf borderId="4" fillId="5" fontId="13" numFmtId="0" xfId="0" applyAlignment="1" applyBorder="1" applyFont="1">
      <alignment horizontal="center" readingOrder="0" shrinkToFit="0" vertical="center" wrapText="1"/>
    </xf>
    <xf borderId="4" fillId="6" fontId="10" numFmtId="0" xfId="0" applyAlignment="1" applyBorder="1" applyFont="1">
      <alignment horizontal="left" readingOrder="0" shrinkToFit="0" vertical="center" wrapText="1"/>
    </xf>
    <xf borderId="4" fillId="4" fontId="6" numFmtId="10" xfId="0" applyAlignment="1" applyBorder="1" applyFont="1" applyNumberFormat="1">
      <alignment horizontal="center" vertical="center"/>
    </xf>
    <xf borderId="4" fillId="6" fontId="6" numFmtId="10" xfId="0" applyAlignment="1" applyBorder="1" applyFont="1" applyNumberFormat="1">
      <alignment horizontal="center" vertical="center"/>
    </xf>
    <xf borderId="1" fillId="12" fontId="5" numFmtId="0" xfId="0" applyAlignment="1" applyBorder="1" applyFont="1">
      <alignment horizontal="left" readingOrder="0" vertical="center"/>
    </xf>
    <xf borderId="4" fillId="4" fontId="6" numFmtId="10" xfId="0" applyAlignment="1" applyBorder="1" applyFont="1" applyNumberFormat="1">
      <alignment horizontal="center" readingOrder="0" vertical="center"/>
    </xf>
    <xf borderId="4" fillId="4" fontId="6" numFmtId="0" xfId="0" applyAlignment="1" applyBorder="1" applyFont="1">
      <alignment horizontal="center" readingOrder="0" vertical="center"/>
    </xf>
    <xf borderId="4" fillId="4" fontId="6" numFmtId="166" xfId="0" applyAlignment="1" applyBorder="1" applyFont="1" applyNumberFormat="1">
      <alignment horizontal="center" readingOrder="0" vertical="center"/>
    </xf>
    <xf borderId="4" fillId="6" fontId="13" numFmtId="0" xfId="0" applyAlignment="1" applyBorder="1" applyFont="1">
      <alignment horizontal="center" readingOrder="0" shrinkToFit="0" vertical="center" wrapText="1"/>
    </xf>
    <xf borderId="1" fillId="9" fontId="5" numFmtId="0" xfId="0" applyAlignment="1" applyBorder="1" applyFont="1">
      <alignment horizontal="left" vertical="center"/>
    </xf>
    <xf borderId="1" fillId="12" fontId="5" numFmtId="0" xfId="0" applyAlignment="1" applyBorder="1" applyFont="1">
      <alignment horizontal="left" vertical="center"/>
    </xf>
    <xf borderId="0" fillId="13" fontId="5" numFmtId="0" xfId="0" applyAlignment="1" applyFill="1" applyFont="1">
      <alignment horizontal="left" vertical="center"/>
    </xf>
    <xf borderId="0" fillId="14" fontId="17" numFmtId="0" xfId="0" applyAlignment="1" applyFill="1" applyFont="1">
      <alignment horizontal="left" shrinkToFit="0" vertical="center" wrapText="1"/>
    </xf>
    <xf borderId="0" fillId="14" fontId="18" numFmtId="0" xfId="0" applyAlignment="1" applyFont="1">
      <alignment horizontal="center" shrinkToFit="0" vertical="center" wrapText="1"/>
    </xf>
    <xf borderId="0" fillId="4" fontId="6" numFmtId="167" xfId="0" applyAlignment="1" applyFont="1" applyNumberFormat="1">
      <alignment horizontal="center" readingOrder="0" vertical="center"/>
    </xf>
    <xf borderId="0" fillId="6" fontId="6" numFmtId="167" xfId="0" applyAlignment="1" applyFont="1" applyNumberFormat="1">
      <alignment horizontal="center" readingOrder="0" vertical="center"/>
    </xf>
    <xf borderId="0" fillId="6" fontId="6" numFmtId="0" xfId="0" applyAlignment="1" applyFont="1">
      <alignment horizontal="center" readingOrder="0" vertical="center"/>
    </xf>
    <xf borderId="0" fillId="6" fontId="6" numFmtId="0" xfId="0" applyAlignment="1" applyFont="1">
      <alignment horizontal="center" vertical="center"/>
    </xf>
    <xf borderId="0" fillId="8" fontId="14" numFmtId="0" xfId="0" applyAlignment="1" applyFont="1">
      <alignment horizontal="center" shrinkToFit="0" vertical="center" wrapText="1"/>
    </xf>
    <xf borderId="0" fillId="6" fontId="17" numFmtId="0" xfId="0" applyAlignment="1" applyFont="1">
      <alignment horizontal="left" shrinkToFit="0" vertical="center" wrapText="1"/>
    </xf>
    <xf borderId="0" fillId="6" fontId="18" numFmtId="0" xfId="0" applyAlignment="1" applyFont="1">
      <alignment horizontal="center" shrinkToFit="0" vertical="center" wrapText="1"/>
    </xf>
    <xf borderId="0" fillId="4" fontId="6" numFmtId="9" xfId="0" applyAlignment="1" applyFont="1" applyNumberFormat="1">
      <alignment horizontal="center" readingOrder="0" vertical="center"/>
    </xf>
    <xf borderId="0" fillId="6" fontId="6" numFmtId="10" xfId="0" applyAlignment="1" applyFont="1" applyNumberFormat="1">
      <alignment horizontal="center" readingOrder="0" vertical="center"/>
    </xf>
    <xf borderId="0" fillId="4" fontId="6" numFmtId="0" xfId="0" applyAlignment="1" applyFont="1">
      <alignment horizontal="center" readingOrder="0" vertical="center"/>
    </xf>
    <xf borderId="0" fillId="2" fontId="5" numFmtId="0" xfId="0" applyAlignment="1" applyFont="1">
      <alignment horizontal="left" vertical="center"/>
    </xf>
    <xf borderId="0" fillId="5" fontId="10" numFmtId="0" xfId="0" applyAlignment="1" applyFont="1">
      <alignment horizontal="left" shrinkToFit="0" vertical="center" wrapText="1"/>
    </xf>
    <xf borderId="0" fillId="5" fontId="18" numFmtId="0" xfId="0" applyAlignment="1" applyFont="1">
      <alignment horizontal="center" shrinkToFit="0" vertical="center" wrapText="1"/>
    </xf>
    <xf borderId="0" fillId="4" fontId="6" numFmtId="0" xfId="0" applyAlignment="1" applyFont="1">
      <alignment horizontal="center" vertical="center"/>
    </xf>
    <xf borderId="0" fillId="6" fontId="10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left" vertical="center"/>
    </xf>
    <xf borderId="0" fillId="15" fontId="5" numFmtId="0" xfId="0" applyAlignment="1" applyFill="1" applyFont="1">
      <alignment horizontal="left" vertical="center"/>
    </xf>
    <xf borderId="0" fillId="5" fontId="19" numFmtId="0" xfId="0" applyAlignment="1" applyFont="1">
      <alignment horizontal="left" shrinkToFit="0" vertical="center" wrapText="1"/>
    </xf>
    <xf borderId="4" fillId="6" fontId="1" numFmtId="3" xfId="0" applyBorder="1" applyFont="1" applyNumberFormat="1"/>
    <xf borderId="4" fillId="6" fontId="1" numFmtId="166" xfId="0" applyBorder="1" applyFont="1" applyNumberFormat="1"/>
    <xf borderId="4" fillId="4" fontId="6" numFmtId="0" xfId="0" applyAlignment="1" applyBorder="1" applyFont="1">
      <alignment horizontal="center" readingOrder="0" shrinkToFit="0" vertical="center" wrapText="1"/>
    </xf>
    <xf borderId="4" fillId="4" fontId="16" numFmtId="3" xfId="0" applyAlignment="1" applyBorder="1" applyFont="1" applyNumberFormat="1">
      <alignment horizontal="center"/>
    </xf>
    <xf borderId="1" fillId="11" fontId="5" numFmtId="0" xfId="0" applyAlignment="1" applyBorder="1" applyFont="1">
      <alignment horizontal="left" vertical="center"/>
    </xf>
    <xf borderId="4" fillId="5" fontId="20" numFmtId="0" xfId="0" applyAlignment="1" applyBorder="1" applyFont="1">
      <alignment horizontal="center" shrinkToFit="0" vertical="center" wrapText="1"/>
    </xf>
    <xf borderId="4" fillId="5" fontId="1" numFmtId="165" xfId="0" applyBorder="1" applyFont="1" applyNumberFormat="1"/>
    <xf borderId="4" fillId="5" fontId="21" numFmtId="3" xfId="0" applyAlignment="1" applyBorder="1" applyFont="1" applyNumberFormat="1">
      <alignment horizontal="center" shrinkToFit="0" wrapText="1"/>
    </xf>
    <xf borderId="4" fillId="5" fontId="1" numFmtId="3" xfId="0" applyBorder="1" applyFont="1" applyNumberFormat="1"/>
    <xf borderId="4" fillId="4" fontId="6" numFmtId="9" xfId="0" applyAlignment="1" applyBorder="1" applyFont="1" applyNumberFormat="1">
      <alignment horizontal="center" vertical="center"/>
    </xf>
    <xf borderId="4" fillId="4" fontId="6" numFmtId="168" xfId="0" applyAlignment="1" applyBorder="1" applyFont="1" applyNumberFormat="1">
      <alignment horizontal="center" vertical="center"/>
    </xf>
    <xf borderId="4" fillId="6" fontId="6" numFmtId="168" xfId="0" applyAlignment="1" applyBorder="1" applyFont="1" applyNumberFormat="1">
      <alignment horizontal="center" vertical="center"/>
    </xf>
    <xf borderId="4" fillId="6" fontId="16" numFmtId="168" xfId="0" applyAlignment="1" applyBorder="1" applyFont="1" applyNumberFormat="1">
      <alignment horizontal="center"/>
    </xf>
    <xf borderId="4" fillId="6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vertical="center"/>
    </xf>
    <xf borderId="4" fillId="6" fontId="6" numFmtId="169" xfId="0" applyAlignment="1" applyBorder="1" applyFont="1" applyNumberFormat="1">
      <alignment horizontal="center" vertical="center"/>
    </xf>
    <xf borderId="4" fillId="6" fontId="16" numFmtId="169" xfId="0" applyAlignment="1" applyBorder="1" applyFont="1" applyNumberFormat="1">
      <alignment horizontal="center"/>
    </xf>
    <xf borderId="4" fillId="6" fontId="6" numFmtId="169" xfId="0" applyAlignment="1" applyBorder="1" applyFont="1" applyNumberFormat="1">
      <alignment horizontal="center" readingOrder="0" vertical="center"/>
    </xf>
    <xf borderId="4" fillId="6" fontId="16" numFmtId="10" xfId="0" applyAlignment="1" applyBorder="1" applyFont="1" applyNumberFormat="1">
      <alignment horizontal="center"/>
    </xf>
    <xf borderId="4" fillId="4" fontId="6" numFmtId="168" xfId="0" applyAlignment="1" applyBorder="1" applyFont="1" applyNumberFormat="1">
      <alignment horizontal="center" readingOrder="0" vertical="center"/>
    </xf>
    <xf borderId="4" fillId="4" fontId="6" numFmtId="169" xfId="0" applyAlignment="1" applyBorder="1" applyFont="1" applyNumberFormat="1">
      <alignment horizontal="center" readingOrder="0" vertical="center"/>
    </xf>
    <xf borderId="1" fillId="16" fontId="5" numFmtId="0" xfId="0" applyAlignment="1" applyBorder="1" applyFill="1" applyFont="1">
      <alignment horizontal="left" vertical="center"/>
    </xf>
    <xf borderId="4" fillId="6" fontId="20" numFmtId="0" xfId="0" applyAlignment="1" applyBorder="1" applyFont="1">
      <alignment horizontal="center" shrinkToFit="0" vertical="center" wrapText="1"/>
    </xf>
    <xf borderId="4" fillId="4" fontId="6" numFmtId="170" xfId="0" applyAlignment="1" applyBorder="1" applyFont="1" applyNumberFormat="1">
      <alignment horizontal="center" vertical="center"/>
    </xf>
    <xf borderId="4" fillId="6" fontId="6" numFmtId="170" xfId="0" applyAlignment="1" applyBorder="1" applyFont="1" applyNumberFormat="1">
      <alignment horizontal="center" vertical="center"/>
    </xf>
    <xf borderId="4" fillId="6" fontId="16" numFmtId="170" xfId="0" applyAlignment="1" applyBorder="1" applyFont="1" applyNumberFormat="1">
      <alignment horizontal="center"/>
    </xf>
    <xf borderId="4" fillId="6" fontId="6" numFmtId="170" xfId="0" applyAlignment="1" applyBorder="1" applyFont="1" applyNumberFormat="1">
      <alignment horizontal="center" readingOrder="0" vertical="center"/>
    </xf>
    <xf borderId="4" fillId="5" fontId="22" numFmtId="165" xfId="0" applyAlignment="1" applyBorder="1" applyFont="1" applyNumberFormat="1">
      <alignment horizontal="center" vertical="center"/>
    </xf>
    <xf borderId="4" fillId="5" fontId="14" numFmtId="0" xfId="0" applyAlignment="1" applyBorder="1" applyFont="1">
      <alignment horizontal="center" vertical="center"/>
    </xf>
    <xf borderId="4" fillId="5" fontId="13" numFmtId="0" xfId="0" applyAlignment="1" applyBorder="1" applyFont="1">
      <alignment horizontal="center" vertical="center"/>
    </xf>
    <xf borderId="4" fillId="5" fontId="7" numFmtId="0" xfId="0" applyAlignment="1" applyBorder="1" applyFont="1">
      <alignment horizontal="left" shrinkToFit="0" vertical="center" wrapText="1"/>
    </xf>
    <xf borderId="4" fillId="6" fontId="22" numFmtId="165" xfId="0" applyAlignment="1" applyBorder="1" applyFont="1" applyNumberFormat="1">
      <alignment horizontal="center" vertical="center"/>
    </xf>
    <xf borderId="4" fillId="6" fontId="14" numFmtId="0" xfId="0" applyAlignment="1" applyBorder="1" applyFont="1">
      <alignment horizontal="center" vertical="center"/>
    </xf>
    <xf borderId="4" fillId="6" fontId="13" numFmtId="0" xfId="0" applyAlignment="1" applyBorder="1" applyFont="1">
      <alignment horizontal="center" vertical="center"/>
    </xf>
    <xf borderId="4" fillId="6" fontId="7" numFmtId="0" xfId="0" applyAlignment="1" applyBorder="1" applyFont="1">
      <alignment horizontal="left" shrinkToFit="0" vertical="center" wrapText="1"/>
    </xf>
    <xf borderId="4" fillId="5" fontId="22" numFmtId="3" xfId="0" applyAlignment="1" applyBorder="1" applyFont="1" applyNumberFormat="1">
      <alignment horizontal="center" vertical="center"/>
    </xf>
    <xf borderId="4" fillId="6" fontId="22" numFmtId="3" xfId="0" applyAlignment="1" applyBorder="1" applyFont="1" applyNumberFormat="1">
      <alignment horizontal="center" vertical="center"/>
    </xf>
    <xf borderId="4" fillId="5" fontId="22" numFmtId="166" xfId="0" applyAlignment="1" applyBorder="1" applyFont="1" applyNumberFormat="1">
      <alignment horizontal="center" vertical="center"/>
    </xf>
    <xf borderId="4" fillId="6" fontId="22" numFmtId="166" xfId="0" applyAlignment="1" applyBorder="1" applyFont="1" applyNumberFormat="1">
      <alignment horizontal="center" vertical="center"/>
    </xf>
    <xf borderId="4" fillId="6" fontId="22" numFmtId="0" xfId="0" applyAlignment="1" applyBorder="1" applyFont="1">
      <alignment horizontal="center" vertical="center"/>
    </xf>
    <xf borderId="4" fillId="6" fontId="22" numFmtId="168" xfId="0" applyAlignment="1" applyBorder="1" applyFont="1" applyNumberFormat="1">
      <alignment horizontal="center" vertical="center"/>
    </xf>
    <xf borderId="0" fillId="17" fontId="2" numFmtId="0" xfId="0" applyAlignment="1" applyFill="1" applyFont="1">
      <alignment horizontal="center" vertical="center"/>
    </xf>
    <xf borderId="0" fillId="18" fontId="23" numFmtId="0" xfId="0" applyAlignment="1" applyFill="1" applyFont="1">
      <alignment horizontal="center" vertical="center"/>
    </xf>
    <xf borderId="0" fillId="3" fontId="5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12" fontId="5" numFmtId="0" xfId="0" applyAlignment="1" applyFont="1">
      <alignment horizontal="center" vertical="center"/>
    </xf>
    <xf borderId="0" fillId="17" fontId="12" numFmtId="0" xfId="0" applyAlignment="1" applyFont="1">
      <alignment horizontal="left" vertical="center"/>
    </xf>
    <xf borderId="0" fillId="6" fontId="6" numFmtId="9" xfId="0" applyAlignment="1" applyFont="1" applyNumberFormat="1">
      <alignment horizontal="center" readingOrder="0" vertical="center"/>
    </xf>
    <xf borderId="0" fillId="2" fontId="12" numFmtId="0" xfId="0" applyAlignment="1" applyFont="1">
      <alignment horizontal="left" vertical="center"/>
    </xf>
    <xf borderId="0" fillId="12" fontId="12" numFmtId="0" xfId="0" applyAlignment="1" applyFont="1">
      <alignment horizontal="left" vertical="center"/>
    </xf>
    <xf borderId="0" fillId="3" fontId="12" numFmtId="0" xfId="0" applyAlignment="1" applyFont="1">
      <alignment horizontal="left" vertical="center"/>
    </xf>
    <xf borderId="0" fillId="18" fontId="24" numFmtId="0" xfId="0" applyAlignment="1" applyFont="1">
      <alignment horizontal="left" vertical="center"/>
    </xf>
    <xf borderId="0" fillId="18" fontId="25" numFmtId="0" xfId="0" applyAlignment="1" applyFont="1">
      <alignment horizontal="left" shrinkToFit="0" vertical="center" wrapText="1"/>
    </xf>
    <xf borderId="0" fillId="18" fontId="26" numFmtId="0" xfId="0" applyAlignment="1" applyFont="1">
      <alignment horizontal="left" shrinkToFit="0" vertical="center" wrapText="1"/>
    </xf>
    <xf borderId="0" fillId="10" fontId="26" numFmtId="0" xfId="0" applyAlignment="1" applyFont="1">
      <alignment horizontal="left" shrinkToFit="0" vertical="center" wrapText="1"/>
    </xf>
    <xf borderId="0" fillId="6" fontId="25" numFmtId="0" xfId="0" applyAlignment="1" applyFont="1">
      <alignment horizontal="left" shrinkToFit="0" vertical="center" wrapText="1"/>
    </xf>
    <xf borderId="0" fillId="6" fontId="26" numFmtId="0" xfId="0" applyAlignment="1" applyFont="1">
      <alignment horizontal="left" shrinkToFit="0" vertical="center" wrapText="1"/>
    </xf>
    <xf borderId="0" fillId="8" fontId="26" numFmtId="0" xfId="0" applyAlignment="1" applyFont="1">
      <alignment horizontal="left" shrinkToFit="0" vertical="center" wrapText="1"/>
    </xf>
    <xf borderId="0" fillId="7" fontId="26" numFmtId="0" xfId="0" applyAlignment="1" applyFont="1">
      <alignment horizontal="left" shrinkToFit="0" vertical="center" wrapText="1"/>
    </xf>
    <xf borderId="0" fillId="10" fontId="10" numFmtId="0" xfId="0" applyAlignment="1" applyFont="1">
      <alignment horizontal="left" vertical="center"/>
    </xf>
    <xf borderId="0" fillId="6" fontId="19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3" width="52.0"/>
    <col customWidth="1" min="4" max="4" width="26.0"/>
    <col customWidth="1" min="5" max="5" width="20.0"/>
    <col customWidth="1" min="6" max="6" width="8.71"/>
  </cols>
  <sheetData>
    <row r="1" ht="31.5" customHeight="1">
      <c r="A1" s="1"/>
      <c r="B1" s="2" t="s">
        <v>0</v>
      </c>
      <c r="C1" s="3"/>
      <c r="D1" s="3"/>
      <c r="E1" s="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1</v>
      </c>
      <c r="C2" s="3"/>
      <c r="D2" s="3"/>
      <c r="E2" s="4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6" t="s">
        <v>2</v>
      </c>
      <c r="C4" s="3"/>
      <c r="D4" s="3"/>
      <c r="E4" s="4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7" t="s">
        <v>3</v>
      </c>
      <c r="C5" s="8" t="s">
        <v>4</v>
      </c>
      <c r="D5" s="3"/>
      <c r="E5" s="4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9.5" customHeight="1">
      <c r="A6" s="1"/>
      <c r="B6" s="9" t="s">
        <v>3</v>
      </c>
      <c r="C6" s="8" t="s">
        <v>5</v>
      </c>
      <c r="D6" s="3"/>
      <c r="E6" s="4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9.5" customHeight="1">
      <c r="A7" s="1"/>
      <c r="B7" s="10" t="s">
        <v>3</v>
      </c>
      <c r="C7" s="8" t="s">
        <v>6</v>
      </c>
      <c r="D7" s="3"/>
      <c r="E7" s="4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9.5" customHeight="1">
      <c r="A8" s="1"/>
      <c r="B8" s="11" t="s">
        <v>3</v>
      </c>
      <c r="C8" s="8" t="s">
        <v>7</v>
      </c>
      <c r="D8" s="3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12" t="s">
        <v>3</v>
      </c>
      <c r="C9" s="8" t="s">
        <v>8</v>
      </c>
      <c r="D9" s="3"/>
      <c r="E9" s="4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9.5" customHeight="1">
      <c r="A10" s="1"/>
      <c r="B10" s="13" t="s">
        <v>3</v>
      </c>
      <c r="C10" s="8" t="s">
        <v>9</v>
      </c>
      <c r="D10" s="3"/>
      <c r="E10" s="4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14" t="s">
        <v>10</v>
      </c>
      <c r="C12" s="3"/>
      <c r="D12" s="3"/>
      <c r="E12" s="4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30.0" customHeight="1">
      <c r="A13" s="1"/>
      <c r="B13" s="15" t="s">
        <v>11</v>
      </c>
      <c r="C13" s="16" t="s">
        <v>12</v>
      </c>
      <c r="D13" s="4"/>
      <c r="E13" s="17" t="s">
        <v>13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1"/>
      <c r="B14" s="15" t="s">
        <v>14</v>
      </c>
      <c r="C14" s="16" t="s">
        <v>15</v>
      </c>
      <c r="D14" s="4"/>
      <c r="E14" s="17" t="s">
        <v>13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0.0" customHeight="1">
      <c r="A15" s="1"/>
      <c r="B15" s="15" t="s">
        <v>16</v>
      </c>
      <c r="C15" s="16" t="s">
        <v>17</v>
      </c>
      <c r="D15" s="4"/>
      <c r="E15" s="17" t="s">
        <v>18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0.0" customHeight="1">
      <c r="A16" s="1"/>
      <c r="B16" s="15" t="s">
        <v>19</v>
      </c>
      <c r="C16" s="16" t="s">
        <v>20</v>
      </c>
      <c r="D16" s="4"/>
      <c r="E16" s="17" t="s">
        <v>18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0.0" customHeight="1">
      <c r="A17" s="1"/>
      <c r="B17" s="15" t="s">
        <v>21</v>
      </c>
      <c r="C17" s="16" t="s">
        <v>22</v>
      </c>
      <c r="D17" s="4"/>
      <c r="E17" s="17" t="s">
        <v>13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0.0" customHeight="1">
      <c r="A18" s="1"/>
      <c r="B18" s="15" t="s">
        <v>23</v>
      </c>
      <c r="C18" s="16" t="s">
        <v>24</v>
      </c>
      <c r="D18" s="4"/>
      <c r="E18" s="17" t="s">
        <v>13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30.0" customHeight="1">
      <c r="A19" s="1"/>
      <c r="B19" s="15" t="s">
        <v>25</v>
      </c>
      <c r="C19" s="16" t="s">
        <v>26</v>
      </c>
      <c r="D19" s="4"/>
      <c r="E19" s="17" t="s">
        <v>13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0" customHeight="1">
      <c r="A20" s="1"/>
      <c r="B20" s="15" t="s">
        <v>27</v>
      </c>
      <c r="C20" s="16" t="s">
        <v>28</v>
      </c>
      <c r="D20" s="4"/>
      <c r="E20" s="17" t="s">
        <v>29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18" t="s">
        <v>30</v>
      </c>
      <c r="C22" s="3"/>
      <c r="D22" s="4"/>
      <c r="E22" s="19" t="s">
        <v>31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9">
    <mergeCell ref="B1:E1"/>
    <mergeCell ref="B2:E2"/>
    <mergeCell ref="B4:E4"/>
    <mergeCell ref="C5:E5"/>
    <mergeCell ref="C6:E6"/>
    <mergeCell ref="C7:E7"/>
    <mergeCell ref="C8:E8"/>
    <mergeCell ref="C17:D17"/>
    <mergeCell ref="C18:D18"/>
    <mergeCell ref="C19:D19"/>
    <mergeCell ref="C20:D20"/>
    <mergeCell ref="B22:D22"/>
    <mergeCell ref="C9:E9"/>
    <mergeCell ref="C10:E10"/>
    <mergeCell ref="B12:E12"/>
    <mergeCell ref="C13:D13"/>
    <mergeCell ref="C14:D14"/>
    <mergeCell ref="C15:D15"/>
    <mergeCell ref="C16:D16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38.0"/>
    <col customWidth="1" min="3" max="3" width="28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50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51</v>
      </c>
      <c r="C4" s="26" t="s">
        <v>52</v>
      </c>
      <c r="D4" s="27">
        <v>2467.76</v>
      </c>
      <c r="E4" s="27">
        <v>2161.49</v>
      </c>
      <c r="F4" s="27">
        <v>2124.79</v>
      </c>
      <c r="G4" s="27">
        <v>2676.18</v>
      </c>
      <c r="H4" s="28">
        <v>2152.22</v>
      </c>
      <c r="I4" s="28">
        <v>2681.1</v>
      </c>
      <c r="J4" s="28">
        <v>2370.85</v>
      </c>
      <c r="K4" s="28">
        <v>3827.56</v>
      </c>
      <c r="L4" s="28">
        <v>2819.82</v>
      </c>
      <c r="M4" s="28">
        <v>2888.61</v>
      </c>
      <c r="N4" s="29"/>
      <c r="O4" s="29"/>
      <c r="P4" s="29"/>
      <c r="Q4" s="30" t="s">
        <v>53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55</v>
      </c>
      <c r="C5" s="33" t="s">
        <v>52</v>
      </c>
      <c r="D5" s="27">
        <v>2467.76</v>
      </c>
      <c r="E5" s="27">
        <v>4629.25</v>
      </c>
      <c r="F5" s="27">
        <v>6754.04</v>
      </c>
      <c r="G5" s="27">
        <v>10048.76</v>
      </c>
      <c r="H5" s="28">
        <v>2152.22</v>
      </c>
      <c r="I5" s="28">
        <v>4833.32</v>
      </c>
      <c r="J5" s="28">
        <v>7808.83</v>
      </c>
      <c r="K5" s="28">
        <v>11401.02</v>
      </c>
      <c r="L5" s="28">
        <v>2819.82</v>
      </c>
      <c r="M5" s="28">
        <v>5459.68</v>
      </c>
      <c r="N5" s="29"/>
      <c r="O5" s="29"/>
      <c r="P5" s="29"/>
      <c r="Q5" s="30" t="s">
        <v>56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57</v>
      </c>
      <c r="C6" s="26" t="s">
        <v>52</v>
      </c>
      <c r="D6" s="34">
        <v>35.0</v>
      </c>
      <c r="E6" s="35">
        <v>31.0</v>
      </c>
      <c r="F6" s="36">
        <v>36.0</v>
      </c>
      <c r="G6" s="35">
        <v>28.0</v>
      </c>
      <c r="H6" s="35">
        <v>31.0</v>
      </c>
      <c r="I6" s="35">
        <v>45.0</v>
      </c>
      <c r="J6" s="35">
        <v>34.0</v>
      </c>
      <c r="K6" s="35">
        <v>49.0</v>
      </c>
      <c r="L6" s="35">
        <v>42.0</v>
      </c>
      <c r="M6" s="35">
        <v>38.0</v>
      </c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59</v>
      </c>
      <c r="C7" s="33" t="s">
        <v>60</v>
      </c>
      <c r="D7" s="27">
        <v>70.51</v>
      </c>
      <c r="E7" s="27">
        <v>69.73</v>
      </c>
      <c r="F7" s="27">
        <v>59.02</v>
      </c>
      <c r="G7" s="27">
        <v>92.28</v>
      </c>
      <c r="H7" s="38">
        <v>59.76</v>
      </c>
      <c r="I7" s="38">
        <v>50.11</v>
      </c>
      <c r="J7" s="38">
        <v>61.04</v>
      </c>
      <c r="K7" s="38">
        <v>67.06</v>
      </c>
      <c r="L7" s="38">
        <v>61.95</v>
      </c>
      <c r="M7" s="38">
        <v>64.84</v>
      </c>
      <c r="N7" s="39"/>
      <c r="O7" s="39"/>
      <c r="P7" s="39"/>
      <c r="Q7" s="30" t="s">
        <v>61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62</v>
      </c>
      <c r="C8" s="26" t="s">
        <v>63</v>
      </c>
      <c r="D8" s="40">
        <v>1855.79</v>
      </c>
      <c r="E8" s="29" t="s">
        <v>64</v>
      </c>
      <c r="F8" s="41" t="s">
        <v>65</v>
      </c>
      <c r="G8" s="28">
        <v>966.33</v>
      </c>
      <c r="H8" s="28">
        <v>945.12</v>
      </c>
      <c r="I8" s="28">
        <v>1151.5</v>
      </c>
      <c r="J8" s="28">
        <v>802.74</v>
      </c>
      <c r="K8" s="28">
        <v>1423.91</v>
      </c>
      <c r="L8" s="28">
        <v>638.6</v>
      </c>
      <c r="M8" s="28">
        <v>1515.24</v>
      </c>
      <c r="N8" s="29"/>
      <c r="O8" s="29"/>
      <c r="P8" s="29"/>
      <c r="Q8" s="30" t="s">
        <v>66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67</v>
      </c>
      <c r="C9" s="33" t="s">
        <v>63</v>
      </c>
      <c r="D9" s="40">
        <v>1228.18</v>
      </c>
      <c r="E9" s="29" t="s">
        <v>68</v>
      </c>
      <c r="F9" s="41" t="s">
        <v>69</v>
      </c>
      <c r="G9" s="28">
        <v>1709.85</v>
      </c>
      <c r="H9" s="28">
        <v>1207.1</v>
      </c>
      <c r="I9" s="28">
        <v>1529.6</v>
      </c>
      <c r="J9" s="28">
        <v>1568.11</v>
      </c>
      <c r="K9" s="28">
        <v>2403.65</v>
      </c>
      <c r="L9" s="28" t="s">
        <v>70</v>
      </c>
      <c r="M9" s="28">
        <v>1373.37</v>
      </c>
      <c r="N9" s="29"/>
      <c r="O9" s="29"/>
      <c r="P9" s="29"/>
      <c r="Q9" s="30" t="s">
        <v>71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9.5" customHeight="1">
      <c r="A11" s="1"/>
      <c r="B11" s="42" t="s">
        <v>72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4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73</v>
      </c>
      <c r="C12" s="26" t="s">
        <v>74</v>
      </c>
      <c r="D12" s="43">
        <v>19.0</v>
      </c>
      <c r="E12" s="37">
        <v>12.0</v>
      </c>
      <c r="F12" s="44">
        <v>11.0</v>
      </c>
      <c r="G12" s="35">
        <v>11.0</v>
      </c>
      <c r="H12" s="35">
        <v>13.0</v>
      </c>
      <c r="I12" s="35">
        <v>25.0</v>
      </c>
      <c r="J12" s="35">
        <v>14.0</v>
      </c>
      <c r="K12" s="35">
        <v>20.0</v>
      </c>
      <c r="L12" s="35">
        <v>13.0</v>
      </c>
      <c r="M12" s="35">
        <v>13.0</v>
      </c>
      <c r="N12" s="37"/>
      <c r="O12" s="37"/>
      <c r="P12" s="37"/>
      <c r="Q12" s="30" t="s">
        <v>58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75</v>
      </c>
      <c r="C13" s="33" t="s">
        <v>74</v>
      </c>
      <c r="D13" s="34">
        <v>17.0</v>
      </c>
      <c r="E13" s="37">
        <v>18.0</v>
      </c>
      <c r="F13" s="44">
        <v>23.0</v>
      </c>
      <c r="G13" s="35">
        <v>18.0</v>
      </c>
      <c r="H13" s="35">
        <v>17.0</v>
      </c>
      <c r="I13" s="35">
        <v>20.0</v>
      </c>
      <c r="J13" s="35">
        <v>20.0</v>
      </c>
      <c r="K13" s="35">
        <v>30.0</v>
      </c>
      <c r="L13" s="35">
        <v>28.0</v>
      </c>
      <c r="M13" s="35">
        <v>20.0</v>
      </c>
      <c r="N13" s="37"/>
      <c r="O13" s="37"/>
      <c r="P13" s="37"/>
      <c r="Q13" s="30" t="s">
        <v>58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76</v>
      </c>
      <c r="C14" s="26" t="s">
        <v>77</v>
      </c>
      <c r="D14" s="45">
        <v>0.49</v>
      </c>
      <c r="E14" s="46">
        <v>0.6</v>
      </c>
      <c r="F14" s="47">
        <v>0.6618</v>
      </c>
      <c r="G14" s="48">
        <v>0.6207</v>
      </c>
      <c r="H14" s="49">
        <v>0.5657</v>
      </c>
      <c r="I14" s="49">
        <v>0.4444</v>
      </c>
      <c r="J14" s="49">
        <v>0.5882</v>
      </c>
      <c r="K14" s="49">
        <v>0.6</v>
      </c>
      <c r="L14" s="50">
        <v>0.69</v>
      </c>
      <c r="M14" s="49">
        <v>0.6</v>
      </c>
      <c r="N14" s="46"/>
      <c r="O14" s="46"/>
      <c r="P14" s="46"/>
      <c r="Q14" s="30" t="s">
        <v>78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79</v>
      </c>
      <c r="C15" s="33" t="s">
        <v>80</v>
      </c>
      <c r="D15" s="51">
        <v>2144.0</v>
      </c>
      <c r="E15" s="28">
        <v>433.46</v>
      </c>
      <c r="F15" s="52">
        <v>879.14</v>
      </c>
      <c r="G15" s="28">
        <v>999.13</v>
      </c>
      <c r="H15" s="28">
        <v>1148.58</v>
      </c>
      <c r="I15" s="28">
        <v>1457.75</v>
      </c>
      <c r="J15" s="28">
        <v>672.76</v>
      </c>
      <c r="K15" s="28">
        <v>1448.64</v>
      </c>
      <c r="L15" s="28">
        <v>638.6</v>
      </c>
      <c r="M15" s="28">
        <v>1449.0</v>
      </c>
      <c r="N15" s="29"/>
      <c r="O15" s="29"/>
      <c r="P15" s="29"/>
      <c r="Q15" s="30" t="s">
        <v>81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82</v>
      </c>
      <c r="C16" s="26" t="s">
        <v>83</v>
      </c>
      <c r="D16" s="45">
        <v>0.91</v>
      </c>
      <c r="E16" s="53">
        <v>0.4</v>
      </c>
      <c r="F16" s="47">
        <v>0.3382</v>
      </c>
      <c r="G16" s="49">
        <v>0.38</v>
      </c>
      <c r="H16" s="54" t="s">
        <v>84</v>
      </c>
      <c r="I16" s="49">
        <v>0.5224</v>
      </c>
      <c r="J16" s="49">
        <v>0.522</v>
      </c>
      <c r="K16" s="49">
        <v>0.55</v>
      </c>
      <c r="L16" s="49">
        <v>0.317</v>
      </c>
      <c r="M16" s="49">
        <v>0.55</v>
      </c>
      <c r="N16" s="46"/>
      <c r="O16" s="46"/>
      <c r="P16" s="46"/>
      <c r="Q16" s="30" t="s">
        <v>85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86</v>
      </c>
      <c r="C17" s="33" t="s">
        <v>74</v>
      </c>
      <c r="D17" s="34">
        <v>6086.0</v>
      </c>
      <c r="E17" s="34">
        <v>6098.0</v>
      </c>
      <c r="F17" s="34">
        <v>6109.0</v>
      </c>
      <c r="G17" s="34">
        <v>6126.0</v>
      </c>
      <c r="H17" s="35">
        <v>6501.0</v>
      </c>
      <c r="I17" s="35">
        <v>6501.0</v>
      </c>
      <c r="J17" s="35">
        <v>6515.0</v>
      </c>
      <c r="K17" s="35">
        <v>6538.0</v>
      </c>
      <c r="L17" s="35">
        <v>6551.0</v>
      </c>
      <c r="M17" s="35">
        <v>6538.0</v>
      </c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24" t="s">
        <v>87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88</v>
      </c>
      <c r="C20" s="26" t="s">
        <v>89</v>
      </c>
      <c r="D20" s="43">
        <v>1297.0</v>
      </c>
      <c r="E20" s="37">
        <v>1329.0</v>
      </c>
      <c r="F20" s="44">
        <v>1461.0</v>
      </c>
      <c r="G20" s="35">
        <v>2200.0</v>
      </c>
      <c r="H20" s="35">
        <v>3454.0</v>
      </c>
      <c r="I20" s="35">
        <v>6652.0</v>
      </c>
      <c r="J20" s="35">
        <v>2452.0</v>
      </c>
      <c r="K20" s="35">
        <v>2644.0</v>
      </c>
      <c r="L20" s="35">
        <v>1653.0</v>
      </c>
      <c r="M20" s="35">
        <v>1314.0</v>
      </c>
      <c r="N20" s="37"/>
      <c r="O20" s="37"/>
      <c r="P20" s="37"/>
      <c r="Q20" s="30" t="s">
        <v>90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91</v>
      </c>
      <c r="C21" s="33" t="s">
        <v>89</v>
      </c>
      <c r="D21" s="45">
        <v>0.0177</v>
      </c>
      <c r="E21" s="46">
        <v>0.0173</v>
      </c>
      <c r="F21" s="47">
        <v>0.0178</v>
      </c>
      <c r="G21" s="49">
        <v>0.01</v>
      </c>
      <c r="H21" s="49">
        <v>0.007</v>
      </c>
      <c r="I21" s="49">
        <v>0.0044</v>
      </c>
      <c r="J21" s="49">
        <v>0.0098</v>
      </c>
      <c r="K21" s="49">
        <v>0.0238</v>
      </c>
      <c r="L21" s="49">
        <v>0.0169</v>
      </c>
      <c r="M21" s="49">
        <v>0.0244</v>
      </c>
      <c r="N21" s="46"/>
      <c r="O21" s="46"/>
      <c r="P21" s="46"/>
      <c r="Q21" s="30" t="s">
        <v>92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93</v>
      </c>
      <c r="C22" s="26" t="s">
        <v>94</v>
      </c>
      <c r="D22" s="45">
        <v>0.0547</v>
      </c>
      <c r="E22" s="46">
        <v>0.0459</v>
      </c>
      <c r="F22" s="47">
        <v>0.0486</v>
      </c>
      <c r="G22" s="49">
        <v>0.0282</v>
      </c>
      <c r="H22" s="49">
        <v>0.0171</v>
      </c>
      <c r="I22" s="49">
        <v>0.0107</v>
      </c>
      <c r="J22" s="49">
        <v>0.0232</v>
      </c>
      <c r="K22" s="49">
        <v>0.0238</v>
      </c>
      <c r="L22" s="49">
        <v>0.0375</v>
      </c>
      <c r="M22" s="49">
        <v>0.0426</v>
      </c>
      <c r="N22" s="46"/>
      <c r="O22" s="46"/>
      <c r="P22" s="46"/>
      <c r="Q22" s="30" t="s">
        <v>95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96</v>
      </c>
      <c r="C23" s="33" t="s">
        <v>94</v>
      </c>
      <c r="D23" s="45">
        <v>0.3026</v>
      </c>
      <c r="E23" s="46">
        <v>0.377</v>
      </c>
      <c r="F23" s="47">
        <v>0.3824</v>
      </c>
      <c r="G23" s="49">
        <v>0.4</v>
      </c>
      <c r="H23" s="49">
        <v>0.3333</v>
      </c>
      <c r="I23" s="49">
        <v>0.4028</v>
      </c>
      <c r="J23" s="49">
        <v>0.4889</v>
      </c>
      <c r="K23" s="49">
        <v>0.4382</v>
      </c>
      <c r="L23" s="49">
        <v>0.549</v>
      </c>
      <c r="M23" s="49">
        <v>0.6444</v>
      </c>
      <c r="N23" s="46"/>
      <c r="O23" s="46"/>
      <c r="P23" s="46"/>
      <c r="Q23" s="30" t="s">
        <v>97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98</v>
      </c>
      <c r="C24" s="26" t="s">
        <v>99</v>
      </c>
      <c r="D24" s="45">
        <v>0.6974</v>
      </c>
      <c r="E24" s="46">
        <v>0.623</v>
      </c>
      <c r="F24" s="47">
        <v>0.6176</v>
      </c>
      <c r="G24" s="49">
        <v>0.6</v>
      </c>
      <c r="H24" s="49">
        <v>0.6667</v>
      </c>
      <c r="I24" s="49">
        <v>0.5972</v>
      </c>
      <c r="J24" s="49">
        <v>0.6522</v>
      </c>
      <c r="K24" s="49">
        <v>0.56</v>
      </c>
      <c r="L24" s="49">
        <v>0.5484</v>
      </c>
      <c r="M24" s="49">
        <v>0.3929</v>
      </c>
      <c r="N24" s="46"/>
      <c r="O24" s="46"/>
      <c r="P24" s="46"/>
      <c r="Q24" s="30" t="s">
        <v>100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1:R11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25.71"/>
    <col customWidth="1" min="18" max="18" width="18.0"/>
  </cols>
  <sheetData>
    <row r="1" ht="27.75" customHeight="1">
      <c r="A1" s="1"/>
      <c r="B1" s="18" t="s">
        <v>101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55" t="s">
        <v>102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103</v>
      </c>
      <c r="C4" s="56" t="s">
        <v>104</v>
      </c>
      <c r="D4" s="34">
        <v>22840.0</v>
      </c>
      <c r="E4" s="34">
        <v>22840.0</v>
      </c>
      <c r="F4" s="34">
        <v>22840.0</v>
      </c>
      <c r="G4" s="34">
        <v>22840.0</v>
      </c>
      <c r="H4" s="35">
        <v>5757.0</v>
      </c>
      <c r="I4" s="35">
        <v>6055.0</v>
      </c>
      <c r="J4" s="35">
        <v>6022.0</v>
      </c>
      <c r="K4" s="35">
        <v>5929.0</v>
      </c>
      <c r="L4" s="35">
        <v>5953.0</v>
      </c>
      <c r="M4" s="35">
        <v>5901.0</v>
      </c>
      <c r="N4" s="37"/>
      <c r="O4" s="37"/>
      <c r="P4" s="37"/>
      <c r="Q4" s="30" t="s">
        <v>105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106</v>
      </c>
      <c r="C5" s="33" t="s">
        <v>107</v>
      </c>
      <c r="D5" s="43"/>
      <c r="E5" s="43"/>
      <c r="F5" s="37"/>
      <c r="G5" s="37"/>
      <c r="H5" s="37"/>
      <c r="I5" s="35">
        <v>553.0</v>
      </c>
      <c r="J5" s="35">
        <v>653.0</v>
      </c>
      <c r="K5" s="35">
        <v>772.0</v>
      </c>
      <c r="L5" s="35">
        <v>330.0</v>
      </c>
      <c r="M5" s="35">
        <v>1855.0</v>
      </c>
      <c r="N5" s="37"/>
      <c r="O5" s="37"/>
      <c r="P5" s="37"/>
      <c r="Q5" s="30" t="s">
        <v>108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109</v>
      </c>
      <c r="C6" s="26" t="s">
        <v>110</v>
      </c>
      <c r="D6" s="34"/>
      <c r="E6" s="34"/>
      <c r="F6" s="35"/>
      <c r="G6" s="35"/>
      <c r="H6" s="37"/>
      <c r="I6" s="35">
        <v>52.0</v>
      </c>
      <c r="J6" s="35">
        <v>25.0</v>
      </c>
      <c r="K6" s="35">
        <v>34.0</v>
      </c>
      <c r="L6" s="35">
        <v>24.0</v>
      </c>
      <c r="M6" s="35">
        <v>36.0</v>
      </c>
      <c r="N6" s="37"/>
      <c r="O6" s="37"/>
      <c r="P6" s="37"/>
      <c r="Q6" s="30" t="s">
        <v>111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57" t="s">
        <v>112</v>
      </c>
      <c r="C7" s="33" t="s">
        <v>113</v>
      </c>
      <c r="D7" s="58"/>
      <c r="E7" s="58"/>
      <c r="F7" s="59"/>
      <c r="G7" s="59"/>
      <c r="H7" s="59"/>
      <c r="I7" s="54"/>
      <c r="J7" s="59"/>
      <c r="K7" s="59"/>
      <c r="L7" s="59"/>
      <c r="M7" s="59"/>
      <c r="N7" s="59"/>
      <c r="O7" s="59"/>
      <c r="P7" s="59"/>
      <c r="Q7" s="30" t="s">
        <v>114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9.5" customHeight="1">
      <c r="A9" s="1"/>
      <c r="B9" s="60" t="s">
        <v>115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4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116</v>
      </c>
      <c r="C10" s="56" t="s">
        <v>117</v>
      </c>
      <c r="D10" s="34">
        <v>41.0</v>
      </c>
      <c r="E10" s="35">
        <v>28.0</v>
      </c>
      <c r="F10" s="35">
        <v>33164.0</v>
      </c>
      <c r="G10" s="35">
        <v>45.0</v>
      </c>
      <c r="H10" s="35">
        <v>20.0</v>
      </c>
      <c r="I10" s="35">
        <v>25.0</v>
      </c>
      <c r="J10" s="35">
        <v>35.0</v>
      </c>
      <c r="K10" s="35">
        <v>41.0</v>
      </c>
      <c r="L10" s="35">
        <v>35.0</v>
      </c>
      <c r="M10" s="35">
        <v>52.0</v>
      </c>
      <c r="N10" s="37"/>
      <c r="O10" s="37"/>
      <c r="P10" s="37"/>
      <c r="Q10" s="30" t="s">
        <v>118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119</v>
      </c>
      <c r="C11" s="56" t="s">
        <v>117</v>
      </c>
      <c r="D11" s="61">
        <v>0.195</v>
      </c>
      <c r="E11" s="62">
        <v>35.7</v>
      </c>
      <c r="F11" s="49">
        <v>0.135</v>
      </c>
      <c r="G11" s="49">
        <v>11.956</v>
      </c>
      <c r="H11" s="49">
        <v>4.55</v>
      </c>
      <c r="I11" s="49">
        <v>1.88</v>
      </c>
      <c r="J11" s="49">
        <v>0.571</v>
      </c>
      <c r="K11" s="49">
        <v>0.463</v>
      </c>
      <c r="L11" s="49">
        <v>0.343</v>
      </c>
      <c r="M11" s="49">
        <v>0.596</v>
      </c>
      <c r="N11" s="46"/>
      <c r="O11" s="46"/>
      <c r="P11" s="46"/>
      <c r="Q11" s="30" t="s">
        <v>78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B12" s="25" t="s">
        <v>120</v>
      </c>
      <c r="C12" s="56" t="s">
        <v>117</v>
      </c>
      <c r="D12" s="63">
        <v>0.0241</v>
      </c>
      <c r="E12" s="63">
        <v>0.036</v>
      </c>
      <c r="F12" s="49">
        <v>0.004</v>
      </c>
      <c r="G12" s="49">
        <v>0.133</v>
      </c>
      <c r="H12" s="49">
        <v>0.1</v>
      </c>
      <c r="I12" s="49">
        <v>0.04</v>
      </c>
      <c r="J12" s="49">
        <v>0.0</v>
      </c>
      <c r="K12" s="49">
        <v>0.073</v>
      </c>
      <c r="L12" s="49">
        <v>0.057</v>
      </c>
      <c r="M12" s="49">
        <v>0.077</v>
      </c>
      <c r="N12" s="46"/>
      <c r="O12" s="46"/>
      <c r="P12" s="46"/>
      <c r="Q12" s="30" t="s">
        <v>121</v>
      </c>
      <c r="R12" s="31" t="s">
        <v>54</v>
      </c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122</v>
      </c>
      <c r="C13" s="64" t="s">
        <v>123</v>
      </c>
      <c r="D13" s="63">
        <v>0.024</v>
      </c>
      <c r="E13" s="49">
        <v>0.0</v>
      </c>
      <c r="F13" s="50">
        <v>0.01</v>
      </c>
      <c r="G13" s="49">
        <v>0.067</v>
      </c>
      <c r="H13" s="49">
        <v>0.05</v>
      </c>
      <c r="I13" s="49">
        <v>0.04</v>
      </c>
      <c r="J13" s="49">
        <v>0.029</v>
      </c>
      <c r="K13" s="49">
        <v>0.024</v>
      </c>
      <c r="L13" s="49">
        <v>0.029</v>
      </c>
      <c r="M13" s="49">
        <v>0.0</v>
      </c>
      <c r="N13" s="46"/>
      <c r="O13" s="46"/>
      <c r="P13" s="46"/>
      <c r="Q13" s="30" t="s">
        <v>124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125</v>
      </c>
      <c r="C14" s="56" t="s">
        <v>126</v>
      </c>
      <c r="D14" s="51">
        <v>0.0</v>
      </c>
      <c r="E14" s="51">
        <v>0.0</v>
      </c>
      <c r="F14" s="28">
        <v>39.95</v>
      </c>
      <c r="G14" s="28">
        <v>321.97</v>
      </c>
      <c r="H14" s="28">
        <v>73.86</v>
      </c>
      <c r="I14" s="28">
        <v>143.76</v>
      </c>
      <c r="J14" s="28">
        <v>41.86</v>
      </c>
      <c r="K14" s="28">
        <v>89.86</v>
      </c>
      <c r="L14" s="28">
        <v>49.0</v>
      </c>
      <c r="M14" s="28">
        <v>0.0</v>
      </c>
      <c r="N14" s="29"/>
      <c r="O14" s="29"/>
      <c r="P14" s="29"/>
      <c r="Q14" s="30" t="s">
        <v>127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128</v>
      </c>
      <c r="C15" s="64" t="s">
        <v>129</v>
      </c>
      <c r="D15" s="34">
        <v>35.0</v>
      </c>
      <c r="E15" s="35">
        <v>66.0</v>
      </c>
      <c r="F15" s="35">
        <v>37.0</v>
      </c>
      <c r="G15" s="35">
        <v>31.0</v>
      </c>
      <c r="H15" s="35">
        <v>302.0</v>
      </c>
      <c r="I15" s="35">
        <v>69.0</v>
      </c>
      <c r="J15" s="35">
        <v>72.0</v>
      </c>
      <c r="K15" s="35">
        <v>53.0</v>
      </c>
      <c r="L15" s="35">
        <v>74.0</v>
      </c>
      <c r="M15" s="35">
        <v>61.0</v>
      </c>
      <c r="N15" s="37"/>
      <c r="O15" s="37"/>
      <c r="P15" s="37"/>
      <c r="Q15" s="30" t="s">
        <v>118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130</v>
      </c>
      <c r="C16" s="56" t="s">
        <v>131</v>
      </c>
      <c r="D16" s="63">
        <v>0.143</v>
      </c>
      <c r="E16" s="63">
        <v>0.333</v>
      </c>
      <c r="F16" s="49">
        <v>0.351</v>
      </c>
      <c r="G16" s="49">
        <v>0.258</v>
      </c>
      <c r="H16" s="49">
        <v>0.318</v>
      </c>
      <c r="I16" s="49">
        <v>0.145</v>
      </c>
      <c r="J16" s="49">
        <v>0.306</v>
      </c>
      <c r="K16" s="49">
        <v>0.28</v>
      </c>
      <c r="L16" s="49">
        <v>0.081</v>
      </c>
      <c r="M16" s="49">
        <v>0.262</v>
      </c>
      <c r="N16" s="46"/>
      <c r="O16" s="46"/>
      <c r="P16" s="46"/>
      <c r="Q16" s="30" t="s">
        <v>132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133</v>
      </c>
      <c r="C17" s="64" t="s">
        <v>134</v>
      </c>
      <c r="D17" s="62">
        <v>0.0</v>
      </c>
      <c r="E17" s="49">
        <v>0.015</v>
      </c>
      <c r="F17" s="49">
        <v>0.027</v>
      </c>
      <c r="G17" s="49">
        <v>0.032</v>
      </c>
      <c r="H17" s="49">
        <v>0.013</v>
      </c>
      <c r="I17" s="49">
        <v>0.014</v>
      </c>
      <c r="J17" s="49">
        <v>0.014</v>
      </c>
      <c r="K17" s="49">
        <v>0.019</v>
      </c>
      <c r="L17" s="49">
        <v>0.0</v>
      </c>
      <c r="M17" s="49">
        <v>0.016</v>
      </c>
      <c r="N17" s="46"/>
      <c r="O17" s="46"/>
      <c r="P17" s="46"/>
      <c r="Q17" s="30" t="s">
        <v>95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135</v>
      </c>
      <c r="C18" s="56" t="s">
        <v>136</v>
      </c>
      <c r="D18" s="51">
        <v>0.0</v>
      </c>
      <c r="E18" s="28">
        <v>64.9</v>
      </c>
      <c r="F18" s="28">
        <v>130.83</v>
      </c>
      <c r="G18" s="28">
        <v>0.0</v>
      </c>
      <c r="H18" s="28">
        <v>200.52</v>
      </c>
      <c r="I18" s="28">
        <v>43.86</v>
      </c>
      <c r="J18" s="28">
        <v>56.95</v>
      </c>
      <c r="K18" s="28">
        <v>58.31</v>
      </c>
      <c r="L18" s="28">
        <v>0.0</v>
      </c>
      <c r="M18" s="28">
        <v>0.0</v>
      </c>
      <c r="N18" s="29"/>
      <c r="O18" s="29"/>
      <c r="P18" s="29"/>
      <c r="Q18" s="30" t="s">
        <v>137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138</v>
      </c>
      <c r="C19" s="64" t="s">
        <v>139</v>
      </c>
      <c r="D19" s="45"/>
      <c r="E19" s="59"/>
      <c r="F19" s="46"/>
      <c r="G19" s="46"/>
      <c r="H19" s="54">
        <v>3.3</v>
      </c>
      <c r="I19" s="54">
        <v>0.0</v>
      </c>
      <c r="J19" s="49">
        <v>0.0</v>
      </c>
      <c r="K19" s="54" t="s">
        <v>140</v>
      </c>
      <c r="L19" s="54">
        <v>0.0</v>
      </c>
      <c r="M19" s="50">
        <v>0.5</v>
      </c>
      <c r="N19" s="46"/>
      <c r="O19" s="46"/>
      <c r="P19" s="46"/>
      <c r="Q19" s="30" t="s">
        <v>141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65" t="s">
        <v>142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143</v>
      </c>
      <c r="C22" s="26" t="s">
        <v>144</v>
      </c>
      <c r="D22" s="45"/>
      <c r="E22" s="46"/>
      <c r="F22" s="49">
        <v>0.1897</v>
      </c>
      <c r="G22" s="49">
        <v>0.28</v>
      </c>
      <c r="H22" s="49">
        <v>0.151</v>
      </c>
      <c r="I22" s="48">
        <v>0.157</v>
      </c>
      <c r="J22" s="49">
        <v>0.15</v>
      </c>
      <c r="K22" s="49">
        <v>0.144</v>
      </c>
      <c r="L22" s="49">
        <v>0.1512</v>
      </c>
      <c r="M22" s="48">
        <v>0.542</v>
      </c>
      <c r="N22" s="46"/>
      <c r="O22" s="46"/>
      <c r="P22" s="46"/>
      <c r="Q22" s="30" t="s">
        <v>145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146</v>
      </c>
      <c r="C23" s="33" t="s">
        <v>144</v>
      </c>
      <c r="D23" s="45"/>
      <c r="E23" s="46"/>
      <c r="F23" s="49">
        <v>0.0054</v>
      </c>
      <c r="G23" s="49">
        <v>0.007</v>
      </c>
      <c r="H23" s="49">
        <v>0.01</v>
      </c>
      <c r="I23" s="49">
        <v>0.008</v>
      </c>
      <c r="J23" s="49">
        <v>0.008</v>
      </c>
      <c r="K23" s="49">
        <v>0.007</v>
      </c>
      <c r="L23" s="48">
        <v>0.004</v>
      </c>
      <c r="M23" s="48">
        <v>0.0133</v>
      </c>
      <c r="N23" s="46"/>
      <c r="O23" s="46"/>
      <c r="P23" s="46"/>
      <c r="Q23" s="30" t="s">
        <v>124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147</v>
      </c>
      <c r="C24" s="26" t="s">
        <v>148</v>
      </c>
      <c r="D24" s="40"/>
      <c r="E24" s="29"/>
      <c r="F24" s="28">
        <v>78.11</v>
      </c>
      <c r="G24" s="28" t="s">
        <v>149</v>
      </c>
      <c r="H24" s="28">
        <v>127.0</v>
      </c>
      <c r="I24" s="28">
        <v>606.73</v>
      </c>
      <c r="J24" s="28">
        <v>350.0</v>
      </c>
      <c r="K24" s="28">
        <v>290.31</v>
      </c>
      <c r="L24" s="28">
        <v>111.42</v>
      </c>
      <c r="M24" s="28">
        <v>412.32</v>
      </c>
      <c r="N24" s="29"/>
      <c r="O24" s="29"/>
      <c r="P24" s="29"/>
      <c r="Q24" s="30" t="s">
        <v>58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9.5" customHeight="1">
      <c r="A26" s="1"/>
      <c r="B26" s="66" t="s">
        <v>150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4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151</v>
      </c>
      <c r="C27" s="33" t="s">
        <v>152</v>
      </c>
      <c r="D27" s="43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0" t="s">
        <v>153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154</v>
      </c>
      <c r="C28" s="26" t="s">
        <v>155</v>
      </c>
      <c r="D28" s="43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0" t="s">
        <v>156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157</v>
      </c>
      <c r="C29" s="33" t="s">
        <v>158</v>
      </c>
      <c r="D29" s="45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30" t="s">
        <v>124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9.5" customHeight="1">
      <c r="A31" s="1"/>
      <c r="B31" s="67" t="s">
        <v>159</v>
      </c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68" t="s">
        <v>160</v>
      </c>
      <c r="C32" s="69" t="s">
        <v>161</v>
      </c>
      <c r="D32" s="70">
        <v>565.51</v>
      </c>
      <c r="E32" s="71">
        <v>312.25</v>
      </c>
      <c r="F32" s="71">
        <v>325.27</v>
      </c>
      <c r="G32" s="71">
        <v>345.82</v>
      </c>
      <c r="H32" s="71">
        <v>257.28</v>
      </c>
      <c r="I32" s="71">
        <v>794.35</v>
      </c>
      <c r="J32" s="71">
        <v>479.1</v>
      </c>
      <c r="K32" s="71">
        <v>547.19</v>
      </c>
      <c r="L32" s="71">
        <v>161.24</v>
      </c>
      <c r="M32" s="72">
        <v>178.01</v>
      </c>
      <c r="N32" s="73"/>
      <c r="O32" s="73"/>
      <c r="P32" s="73"/>
      <c r="Q32" s="74" t="s">
        <v>162</v>
      </c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75" t="s">
        <v>163</v>
      </c>
      <c r="C33" s="76" t="s">
        <v>164</v>
      </c>
      <c r="D33" s="77"/>
      <c r="E33" s="72"/>
      <c r="F33" s="73"/>
      <c r="G33" s="73"/>
      <c r="H33" s="78">
        <v>0.393</v>
      </c>
      <c r="I33" s="78">
        <v>0.438</v>
      </c>
      <c r="J33" s="72">
        <v>46.3</v>
      </c>
      <c r="K33" s="72">
        <v>44.9</v>
      </c>
      <c r="L33" s="72">
        <v>42.8</v>
      </c>
      <c r="M33" s="72">
        <v>40.3</v>
      </c>
      <c r="N33" s="73"/>
      <c r="O33" s="73"/>
      <c r="P33" s="73"/>
      <c r="Q33" s="74" t="s">
        <v>165</v>
      </c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68" t="s">
        <v>166</v>
      </c>
      <c r="C34" s="69" t="s">
        <v>167</v>
      </c>
      <c r="D34" s="79">
        <v>0.0</v>
      </c>
      <c r="E34" s="72">
        <v>0.0</v>
      </c>
      <c r="F34" s="72">
        <v>0.0</v>
      </c>
      <c r="G34" s="72">
        <v>0.0</v>
      </c>
      <c r="H34" s="73"/>
      <c r="I34" s="73"/>
      <c r="J34" s="73"/>
      <c r="K34" s="73"/>
      <c r="L34" s="73"/>
      <c r="M34" s="72">
        <v>2.0</v>
      </c>
      <c r="N34" s="73"/>
      <c r="O34" s="73"/>
      <c r="P34" s="73"/>
      <c r="Q34" s="74" t="s">
        <v>168</v>
      </c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75" t="s">
        <v>169</v>
      </c>
      <c r="C35" s="76" t="s">
        <v>170</v>
      </c>
      <c r="D35" s="79">
        <v>12.0</v>
      </c>
      <c r="E35" s="72">
        <v>12.0</v>
      </c>
      <c r="F35" s="72">
        <v>12.0</v>
      </c>
      <c r="G35" s="72">
        <v>12.0</v>
      </c>
      <c r="H35" s="72">
        <v>12.0</v>
      </c>
      <c r="I35" s="72">
        <v>12.0</v>
      </c>
      <c r="J35" s="72">
        <v>12.0</v>
      </c>
      <c r="K35" s="72">
        <v>12.0</v>
      </c>
      <c r="L35" s="72">
        <v>12.0</v>
      </c>
      <c r="M35" s="72">
        <v>12.0</v>
      </c>
      <c r="N35" s="73"/>
      <c r="O35" s="73"/>
      <c r="P35" s="73"/>
      <c r="Q35" s="74" t="s">
        <v>171</v>
      </c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80" t="s">
        <v>172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81" t="s">
        <v>173</v>
      </c>
      <c r="C38" s="82" t="s">
        <v>174</v>
      </c>
      <c r="D38" s="8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  <c r="Q38" s="74" t="s">
        <v>175</v>
      </c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84" t="s">
        <v>176</v>
      </c>
      <c r="C39" s="76" t="s">
        <v>177</v>
      </c>
      <c r="D39" s="8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73"/>
      <c r="Q39" s="74" t="s">
        <v>178</v>
      </c>
      <c r="R39" s="1"/>
      <c r="S39" s="1"/>
      <c r="T39" s="1"/>
      <c r="U39" s="1"/>
      <c r="V39" s="1"/>
      <c r="W39" s="1"/>
      <c r="X39" s="1"/>
      <c r="Y39" s="1"/>
      <c r="Z39" s="1"/>
    </row>
    <row r="40" ht="21.75" customHeight="1">
      <c r="A40" s="1"/>
      <c r="B40" s="81" t="s">
        <v>179</v>
      </c>
      <c r="C40" s="82" t="s">
        <v>180</v>
      </c>
      <c r="D40" s="8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73"/>
      <c r="Q40" s="74" t="s">
        <v>165</v>
      </c>
      <c r="R40" s="1"/>
      <c r="S40" s="1"/>
      <c r="T40" s="1"/>
      <c r="U40" s="1"/>
      <c r="V40" s="1"/>
      <c r="W40" s="1"/>
      <c r="X40" s="1"/>
      <c r="Y40" s="1"/>
      <c r="Z40" s="1"/>
    </row>
    <row r="41" ht="21.75" customHeight="1">
      <c r="A41" s="1"/>
      <c r="B41" s="84" t="s">
        <v>181</v>
      </c>
      <c r="C41" s="76" t="s">
        <v>182</v>
      </c>
      <c r="D41" s="83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73"/>
      <c r="Q41" s="74" t="s">
        <v>183</v>
      </c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9.5" customHeight="1">
      <c r="A43" s="1"/>
      <c r="B43" s="85" t="s">
        <v>184</v>
      </c>
      <c r="S43" s="1"/>
      <c r="T43" s="1"/>
      <c r="U43" s="1"/>
      <c r="V43" s="1"/>
      <c r="W43" s="1"/>
      <c r="X43" s="1"/>
      <c r="Y43" s="1"/>
      <c r="Z43" s="1"/>
    </row>
    <row r="44" ht="21.75" customHeight="1">
      <c r="A44" s="1"/>
      <c r="B44" s="81" t="s">
        <v>185</v>
      </c>
      <c r="C44" s="82" t="s">
        <v>186</v>
      </c>
      <c r="D44" s="8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  <c r="Q44" s="74" t="s">
        <v>187</v>
      </c>
      <c r="R44" s="1"/>
      <c r="S44" s="1"/>
      <c r="T44" s="1"/>
      <c r="U44" s="1"/>
      <c r="V44" s="1"/>
      <c r="W44" s="1"/>
      <c r="X44" s="1"/>
      <c r="Y44" s="1"/>
      <c r="Z44" s="1"/>
    </row>
    <row r="45" ht="21.75" customHeight="1">
      <c r="A45" s="1"/>
      <c r="B45" s="84" t="s">
        <v>188</v>
      </c>
      <c r="C45" s="76" t="s">
        <v>189</v>
      </c>
      <c r="D45" s="8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73"/>
      <c r="Q45" s="74" t="s">
        <v>190</v>
      </c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9.5" customHeight="1">
      <c r="A47" s="1"/>
      <c r="B47" s="86" t="s">
        <v>191</v>
      </c>
      <c r="S47" s="1"/>
      <c r="T47" s="1"/>
      <c r="U47" s="1"/>
      <c r="V47" s="1"/>
      <c r="W47" s="1"/>
      <c r="X47" s="1"/>
      <c r="Y47" s="1"/>
      <c r="Z47" s="1"/>
    </row>
    <row r="48" ht="30.0" customHeight="1">
      <c r="A48" s="1"/>
      <c r="B48" s="87" t="s">
        <v>192</v>
      </c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0">
    <mergeCell ref="B43:R43"/>
    <mergeCell ref="B47:R47"/>
    <mergeCell ref="B48:Q48"/>
    <mergeCell ref="B1:Q1"/>
    <mergeCell ref="B3:R3"/>
    <mergeCell ref="B9:R9"/>
    <mergeCell ref="B21:R21"/>
    <mergeCell ref="B26:R26"/>
    <mergeCell ref="B31:R31"/>
    <mergeCell ref="B37:R37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193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194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195</v>
      </c>
      <c r="C4" s="26" t="s">
        <v>196</v>
      </c>
      <c r="D4" s="43" t="s">
        <v>197</v>
      </c>
      <c r="E4" s="37" t="s">
        <v>197</v>
      </c>
      <c r="F4" s="44" t="s">
        <v>197</v>
      </c>
      <c r="G4" s="44" t="s">
        <v>197</v>
      </c>
      <c r="H4" s="44" t="s">
        <v>197</v>
      </c>
      <c r="I4" s="44" t="s">
        <v>197</v>
      </c>
      <c r="J4" s="44" t="s">
        <v>197</v>
      </c>
      <c r="K4" s="44" t="s">
        <v>197</v>
      </c>
      <c r="L4" s="44" t="s">
        <v>197</v>
      </c>
      <c r="M4" s="44" t="s">
        <v>197</v>
      </c>
      <c r="N4" s="37"/>
      <c r="O4" s="37"/>
      <c r="P4" s="37"/>
      <c r="Q4" s="30" t="s">
        <v>198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199</v>
      </c>
      <c r="C5" s="33" t="s">
        <v>196</v>
      </c>
      <c r="D5" s="43">
        <v>2.0</v>
      </c>
      <c r="E5" s="37">
        <v>6.0</v>
      </c>
      <c r="F5" s="44">
        <v>8.0</v>
      </c>
      <c r="G5" s="35">
        <v>2.0</v>
      </c>
      <c r="H5" s="35">
        <v>2.0</v>
      </c>
      <c r="I5" s="35">
        <v>1.0</v>
      </c>
      <c r="J5" s="35">
        <v>0.0</v>
      </c>
      <c r="K5" s="35">
        <v>1.0</v>
      </c>
      <c r="L5" s="35">
        <v>2.0</v>
      </c>
      <c r="M5" s="35">
        <v>3.0</v>
      </c>
      <c r="N5" s="37"/>
      <c r="O5" s="37"/>
      <c r="P5" s="37"/>
      <c r="Q5" s="30" t="s">
        <v>200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201</v>
      </c>
      <c r="C6" s="26" t="s">
        <v>202</v>
      </c>
      <c r="D6" s="43">
        <v>698.0</v>
      </c>
      <c r="E6" s="37">
        <v>466.0</v>
      </c>
      <c r="F6" s="44">
        <v>494.0</v>
      </c>
      <c r="G6" s="35">
        <v>572.0</v>
      </c>
      <c r="H6" s="35">
        <v>1182.0</v>
      </c>
      <c r="I6" s="35">
        <v>6248.0</v>
      </c>
      <c r="J6" s="35">
        <v>677.0</v>
      </c>
      <c r="K6" s="35">
        <v>1032.0</v>
      </c>
      <c r="L6" s="35">
        <v>2000.0</v>
      </c>
      <c r="M6" s="35">
        <v>6400.0</v>
      </c>
      <c r="N6" s="37"/>
      <c r="O6" s="37"/>
      <c r="P6" s="37"/>
      <c r="Q6" s="30" t="s">
        <v>58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203</v>
      </c>
      <c r="C7" s="33" t="s">
        <v>202</v>
      </c>
      <c r="D7" s="43">
        <v>287.0</v>
      </c>
      <c r="E7" s="37">
        <v>644.0</v>
      </c>
      <c r="F7" s="44">
        <v>720.0</v>
      </c>
      <c r="G7" s="35">
        <v>235.0</v>
      </c>
      <c r="H7" s="35">
        <v>634.0</v>
      </c>
      <c r="I7" s="35" t="s">
        <v>204</v>
      </c>
      <c r="J7" s="35">
        <v>322.0</v>
      </c>
      <c r="K7" s="35">
        <v>508.0</v>
      </c>
      <c r="L7" s="35">
        <v>474.0</v>
      </c>
      <c r="M7" s="35">
        <v>2000.0</v>
      </c>
      <c r="N7" s="37"/>
      <c r="O7" s="37"/>
      <c r="P7" s="37"/>
      <c r="Q7" s="30" t="s">
        <v>205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206</v>
      </c>
      <c r="C8" s="26" t="s">
        <v>207</v>
      </c>
      <c r="D8" s="45">
        <v>0.0093</v>
      </c>
      <c r="E8" s="46">
        <v>0.012</v>
      </c>
      <c r="F8" s="47">
        <v>0.0601</v>
      </c>
      <c r="G8" s="49">
        <v>3.0</v>
      </c>
      <c r="H8" s="49">
        <v>9.99</v>
      </c>
      <c r="I8" s="54">
        <v>6.2</v>
      </c>
      <c r="J8" s="49">
        <v>0.0067</v>
      </c>
      <c r="K8" s="49">
        <v>0.01</v>
      </c>
      <c r="L8" s="49">
        <v>0.01</v>
      </c>
      <c r="M8" s="49">
        <v>0.01</v>
      </c>
      <c r="N8" s="46"/>
      <c r="O8" s="46"/>
      <c r="P8" s="46"/>
      <c r="Q8" s="30" t="s">
        <v>208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209</v>
      </c>
      <c r="C9" s="33" t="s">
        <v>210</v>
      </c>
      <c r="D9" s="43">
        <v>24.0</v>
      </c>
      <c r="E9" s="37">
        <v>66.0</v>
      </c>
      <c r="F9" s="44">
        <v>30.0</v>
      </c>
      <c r="G9" s="35">
        <v>30.0</v>
      </c>
      <c r="H9" s="35">
        <v>21.0</v>
      </c>
      <c r="I9" s="35">
        <v>42.0</v>
      </c>
      <c r="J9" s="35">
        <v>18.0</v>
      </c>
      <c r="K9" s="35">
        <v>47.0</v>
      </c>
      <c r="L9" s="35">
        <v>23.0</v>
      </c>
      <c r="M9" s="35">
        <v>63.0</v>
      </c>
      <c r="N9" s="37"/>
      <c r="O9" s="37"/>
      <c r="P9" s="37"/>
      <c r="Q9" s="30" t="s">
        <v>58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211</v>
      </c>
      <c r="C10" s="26" t="s">
        <v>212</v>
      </c>
      <c r="D10" s="43">
        <v>0.0</v>
      </c>
      <c r="E10" s="37">
        <v>3.0</v>
      </c>
      <c r="F10" s="44">
        <v>2.0</v>
      </c>
      <c r="G10" s="35">
        <v>1.0</v>
      </c>
      <c r="H10" s="35">
        <v>0.0</v>
      </c>
      <c r="I10" s="35">
        <v>0.0</v>
      </c>
      <c r="J10" s="35">
        <v>1.0</v>
      </c>
      <c r="K10" s="35">
        <v>0.0</v>
      </c>
      <c r="L10" s="35">
        <v>1.0</v>
      </c>
      <c r="M10" s="35">
        <v>1.0</v>
      </c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213</v>
      </c>
      <c r="C11" s="33" t="s">
        <v>214</v>
      </c>
      <c r="D11" s="43">
        <v>3.0</v>
      </c>
      <c r="E11" s="37">
        <v>3.0</v>
      </c>
      <c r="F11" s="44">
        <v>1.0</v>
      </c>
      <c r="G11" s="35">
        <v>2.0</v>
      </c>
      <c r="H11" s="35">
        <v>3.0</v>
      </c>
      <c r="I11" s="35">
        <v>5.0</v>
      </c>
      <c r="J11" s="35">
        <v>4.0</v>
      </c>
      <c r="K11" s="35">
        <v>2.0</v>
      </c>
      <c r="L11" s="35">
        <v>3.0</v>
      </c>
      <c r="M11" s="35">
        <v>4.0</v>
      </c>
      <c r="N11" s="37"/>
      <c r="O11" s="37"/>
      <c r="P11" s="37"/>
      <c r="Q11" s="30" t="s">
        <v>215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5" t="s">
        <v>216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195</v>
      </c>
      <c r="C14" s="26" t="s">
        <v>217</v>
      </c>
      <c r="D14" s="43" t="s">
        <v>218</v>
      </c>
      <c r="E14" s="43" t="s">
        <v>218</v>
      </c>
      <c r="F14" s="44" t="s">
        <v>219</v>
      </c>
      <c r="G14" s="44" t="s">
        <v>219</v>
      </c>
      <c r="H14" s="44" t="s">
        <v>219</v>
      </c>
      <c r="I14" s="44" t="s">
        <v>219</v>
      </c>
      <c r="J14" s="44" t="s">
        <v>219</v>
      </c>
      <c r="K14" s="44" t="s">
        <v>219</v>
      </c>
      <c r="L14" s="35">
        <v>19715.0</v>
      </c>
      <c r="M14" s="35">
        <v>19715.0</v>
      </c>
      <c r="N14" s="37"/>
      <c r="O14" s="37"/>
      <c r="P14" s="37"/>
      <c r="Q14" s="30" t="s">
        <v>58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199</v>
      </c>
      <c r="C15" s="33" t="s">
        <v>220</v>
      </c>
      <c r="D15" s="34">
        <v>16.0</v>
      </c>
      <c r="E15" s="35">
        <v>27.0</v>
      </c>
      <c r="F15" s="36">
        <v>8.0</v>
      </c>
      <c r="G15" s="35">
        <v>14.0</v>
      </c>
      <c r="H15" s="35">
        <v>58.0</v>
      </c>
      <c r="I15" s="35">
        <v>55.0</v>
      </c>
      <c r="J15" s="35">
        <v>46.0</v>
      </c>
      <c r="K15" s="35">
        <v>16.0</v>
      </c>
      <c r="L15" s="35">
        <v>82.0</v>
      </c>
      <c r="M15" s="35">
        <v>15.0</v>
      </c>
      <c r="N15" s="37"/>
      <c r="O15" s="37"/>
      <c r="P15" s="37"/>
      <c r="Q15" s="30" t="s">
        <v>58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221</v>
      </c>
      <c r="C16" s="26" t="s">
        <v>222</v>
      </c>
      <c r="D16" s="34" t="s">
        <v>223</v>
      </c>
      <c r="E16" s="35" t="s">
        <v>224</v>
      </c>
      <c r="F16" s="36" t="s">
        <v>225</v>
      </c>
      <c r="G16" s="35" t="s">
        <v>226</v>
      </c>
      <c r="H16" s="35">
        <v>871.0</v>
      </c>
      <c r="I16" s="35">
        <v>2723.0</v>
      </c>
      <c r="J16" s="35">
        <v>4203.0</v>
      </c>
      <c r="K16" s="35" t="s">
        <v>227</v>
      </c>
      <c r="L16" s="35">
        <v>11886.0</v>
      </c>
      <c r="M16" s="35">
        <v>12932.0</v>
      </c>
      <c r="N16" s="37"/>
      <c r="O16" s="37"/>
      <c r="P16" s="37"/>
      <c r="Q16" s="30" t="s">
        <v>228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229</v>
      </c>
      <c r="C17" s="33" t="s">
        <v>230</v>
      </c>
      <c r="D17" s="43"/>
      <c r="E17" s="37"/>
      <c r="F17" s="88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0" t="s">
        <v>58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206</v>
      </c>
      <c r="C18" s="26" t="s">
        <v>231</v>
      </c>
      <c r="D18" s="45"/>
      <c r="E18" s="46"/>
      <c r="F18" s="89"/>
      <c r="G18" s="46"/>
      <c r="H18" s="49">
        <v>0.72</v>
      </c>
      <c r="I18" s="46"/>
      <c r="J18" s="46"/>
      <c r="K18" s="49">
        <v>0.35</v>
      </c>
      <c r="L18" s="49">
        <v>0.89</v>
      </c>
      <c r="M18" s="49">
        <v>0.316</v>
      </c>
      <c r="N18" s="46"/>
      <c r="O18" s="46"/>
      <c r="P18" s="46"/>
      <c r="Q18" s="30" t="s">
        <v>124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232</v>
      </c>
      <c r="C19" s="33" t="s">
        <v>233</v>
      </c>
      <c r="D19" s="43"/>
      <c r="E19" s="37"/>
      <c r="F19" s="44"/>
      <c r="G19" s="37"/>
      <c r="H19" s="35">
        <v>51.0</v>
      </c>
      <c r="I19" s="35">
        <v>206.0</v>
      </c>
      <c r="J19" s="35">
        <v>560.0</v>
      </c>
      <c r="K19" s="35">
        <v>96.0</v>
      </c>
      <c r="L19" s="35">
        <v>29.0</v>
      </c>
      <c r="M19" s="35">
        <v>93.0</v>
      </c>
      <c r="N19" s="37"/>
      <c r="O19" s="37"/>
      <c r="P19" s="37"/>
      <c r="Q19" s="30" t="s">
        <v>58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234</v>
      </c>
      <c r="C20" s="26" t="s">
        <v>235</v>
      </c>
      <c r="D20" s="43"/>
      <c r="E20" s="37"/>
      <c r="F20" s="88"/>
      <c r="G20" s="37"/>
      <c r="H20" s="37"/>
      <c r="I20" s="37"/>
      <c r="J20" s="37"/>
      <c r="K20" s="35">
        <v>940.0</v>
      </c>
      <c r="L20" s="35" t="s">
        <v>236</v>
      </c>
      <c r="M20" s="35">
        <v>900.0</v>
      </c>
      <c r="N20" s="37"/>
      <c r="O20" s="37"/>
      <c r="P20" s="37"/>
      <c r="Q20" s="30" t="s">
        <v>58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237</v>
      </c>
      <c r="C21" s="33" t="s">
        <v>238</v>
      </c>
      <c r="D21" s="34">
        <v>80.0</v>
      </c>
      <c r="E21" s="35">
        <v>81.0</v>
      </c>
      <c r="F21" s="44">
        <v>31.0</v>
      </c>
      <c r="G21" s="35">
        <v>45.0</v>
      </c>
      <c r="H21" s="35">
        <v>50.0</v>
      </c>
      <c r="I21" s="35">
        <v>48.0</v>
      </c>
      <c r="J21" s="35">
        <v>96.0</v>
      </c>
      <c r="K21" s="35">
        <v>65.0</v>
      </c>
      <c r="L21" s="35">
        <v>57.0</v>
      </c>
      <c r="M21" s="35">
        <v>59.0</v>
      </c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239</v>
      </c>
      <c r="C22" s="26" t="s">
        <v>240</v>
      </c>
      <c r="D22" s="34">
        <v>3.0</v>
      </c>
      <c r="E22" s="35">
        <v>3.0</v>
      </c>
      <c r="F22" s="44">
        <v>7.0</v>
      </c>
      <c r="G22" s="35">
        <v>2.0</v>
      </c>
      <c r="H22" s="35">
        <v>2.0</v>
      </c>
      <c r="I22" s="35">
        <v>4.0</v>
      </c>
      <c r="J22" s="35">
        <v>4.0</v>
      </c>
      <c r="K22" s="35">
        <v>2.0</v>
      </c>
      <c r="L22" s="35">
        <v>6.0</v>
      </c>
      <c r="M22" s="35">
        <v>1.0</v>
      </c>
      <c r="N22" s="37"/>
      <c r="O22" s="37"/>
      <c r="P22" s="37"/>
      <c r="Q22" s="30" t="s">
        <v>58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B24" s="42" t="s">
        <v>241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4"/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242</v>
      </c>
      <c r="C25" s="33" t="s">
        <v>243</v>
      </c>
      <c r="D25" s="43" t="s">
        <v>244</v>
      </c>
      <c r="E25" s="44">
        <v>1125.0</v>
      </c>
      <c r="F25" s="44">
        <v>1056.0</v>
      </c>
      <c r="G25" s="44">
        <v>1131.0</v>
      </c>
      <c r="H25" s="35">
        <v>1728.0</v>
      </c>
      <c r="I25" s="35">
        <v>5856.0</v>
      </c>
      <c r="J25" s="35">
        <v>1808.0</v>
      </c>
      <c r="K25" s="35">
        <v>317.0</v>
      </c>
      <c r="L25" s="35">
        <v>669.0</v>
      </c>
      <c r="M25" s="35">
        <v>988.0</v>
      </c>
      <c r="N25" s="37"/>
      <c r="O25" s="37"/>
      <c r="P25" s="37"/>
      <c r="Q25" s="30" t="s">
        <v>58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245</v>
      </c>
      <c r="C26" s="26" t="s">
        <v>246</v>
      </c>
      <c r="D26" s="43">
        <v>258.0</v>
      </c>
      <c r="E26" s="44">
        <v>213.0</v>
      </c>
      <c r="F26" s="44">
        <v>240.0</v>
      </c>
      <c r="G26" s="35">
        <v>216.0</v>
      </c>
      <c r="H26" s="35">
        <v>131.0</v>
      </c>
      <c r="I26" s="35">
        <v>222.0</v>
      </c>
      <c r="J26" s="35">
        <v>200.0</v>
      </c>
      <c r="K26" s="35">
        <v>50.0</v>
      </c>
      <c r="L26" s="35">
        <v>234.0</v>
      </c>
      <c r="M26" s="35">
        <v>143.0</v>
      </c>
      <c r="N26" s="37"/>
      <c r="O26" s="37"/>
      <c r="P26" s="37"/>
      <c r="Q26" s="30" t="s">
        <v>58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247</v>
      </c>
      <c r="C27" s="33" t="s">
        <v>246</v>
      </c>
      <c r="D27" s="43">
        <v>13.0</v>
      </c>
      <c r="E27" s="44">
        <v>17.0</v>
      </c>
      <c r="F27" s="44">
        <v>12.0</v>
      </c>
      <c r="G27" s="35">
        <v>37.0</v>
      </c>
      <c r="H27" s="35">
        <v>4.0</v>
      </c>
      <c r="I27" s="35">
        <v>3783.0</v>
      </c>
      <c r="J27" s="35">
        <v>18.0</v>
      </c>
      <c r="K27" s="35">
        <v>1.0</v>
      </c>
      <c r="L27" s="35">
        <v>48.0</v>
      </c>
      <c r="M27" s="35">
        <v>43.0</v>
      </c>
      <c r="N27" s="37"/>
      <c r="O27" s="37"/>
      <c r="P27" s="37"/>
      <c r="Q27" s="30" t="s">
        <v>248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249</v>
      </c>
      <c r="C28" s="26" t="s">
        <v>246</v>
      </c>
      <c r="D28" s="43">
        <v>31.0</v>
      </c>
      <c r="E28" s="44">
        <v>3.0</v>
      </c>
      <c r="F28" s="44">
        <v>98.0</v>
      </c>
      <c r="G28" s="35">
        <v>44.0</v>
      </c>
      <c r="H28" s="35">
        <v>1128.0</v>
      </c>
      <c r="I28" s="35">
        <v>1014.0</v>
      </c>
      <c r="J28" s="35">
        <v>835.0</v>
      </c>
      <c r="K28" s="35">
        <v>0.0</v>
      </c>
      <c r="L28" s="35">
        <v>59.0</v>
      </c>
      <c r="M28" s="35">
        <v>33.0</v>
      </c>
      <c r="N28" s="37"/>
      <c r="O28" s="37"/>
      <c r="P28" s="37"/>
      <c r="Q28" s="30" t="s">
        <v>58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250</v>
      </c>
      <c r="C29" s="33" t="s">
        <v>246</v>
      </c>
      <c r="D29" s="43">
        <v>249.0</v>
      </c>
      <c r="E29" s="44">
        <v>257.0</v>
      </c>
      <c r="F29" s="44">
        <v>210.0</v>
      </c>
      <c r="G29" s="35">
        <v>207.0</v>
      </c>
      <c r="H29" s="35">
        <v>155.0</v>
      </c>
      <c r="I29" s="35">
        <v>219.0</v>
      </c>
      <c r="J29" s="35">
        <v>113.0</v>
      </c>
      <c r="K29" s="35">
        <v>0.0</v>
      </c>
      <c r="L29" s="35">
        <v>83.0</v>
      </c>
      <c r="M29" s="35">
        <v>144.0</v>
      </c>
      <c r="N29" s="37"/>
      <c r="O29" s="37"/>
      <c r="P29" s="37"/>
      <c r="Q29" s="30" t="s">
        <v>251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21.75" customHeight="1">
      <c r="A30" s="1"/>
      <c r="B30" s="25" t="s">
        <v>252</v>
      </c>
      <c r="C30" s="26" t="s">
        <v>253</v>
      </c>
      <c r="D30" s="45" t="s">
        <v>84</v>
      </c>
      <c r="E30" s="47">
        <v>0.6178</v>
      </c>
      <c r="F30" s="47">
        <v>0.4953</v>
      </c>
      <c r="G30" s="49">
        <v>0.6295</v>
      </c>
      <c r="H30" s="49">
        <v>0.7662</v>
      </c>
      <c r="I30" s="49">
        <v>0.689</v>
      </c>
      <c r="J30" s="49">
        <v>0.746</v>
      </c>
      <c r="K30" s="49">
        <v>0.82</v>
      </c>
      <c r="L30" s="54">
        <v>59.71</v>
      </c>
      <c r="M30" s="49">
        <v>0.58</v>
      </c>
      <c r="N30" s="46"/>
      <c r="O30" s="46"/>
      <c r="P30" s="46"/>
      <c r="Q30" s="30" t="s">
        <v>254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255</v>
      </c>
      <c r="C31" s="33" t="s">
        <v>256</v>
      </c>
      <c r="D31" s="43">
        <v>107.62</v>
      </c>
      <c r="E31" s="44">
        <v>119.32</v>
      </c>
      <c r="F31" s="44">
        <v>132.67</v>
      </c>
      <c r="G31" s="35">
        <v>113.9</v>
      </c>
      <c r="H31" s="35">
        <v>54.74</v>
      </c>
      <c r="I31" s="35">
        <v>134.66</v>
      </c>
      <c r="J31" s="35">
        <v>114.0</v>
      </c>
      <c r="K31" s="35">
        <v>25.4</v>
      </c>
      <c r="L31" s="35">
        <v>44.0</v>
      </c>
      <c r="M31" s="35">
        <v>114.0</v>
      </c>
      <c r="N31" s="37"/>
      <c r="O31" s="37"/>
      <c r="P31" s="37"/>
      <c r="Q31" s="30" t="s">
        <v>257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39.75" customHeight="1">
      <c r="A32" s="1"/>
      <c r="B32" s="25" t="s">
        <v>258</v>
      </c>
      <c r="C32" s="26" t="s">
        <v>259</v>
      </c>
      <c r="D32" s="90" t="s">
        <v>260</v>
      </c>
      <c r="E32" s="47">
        <v>0.9516</v>
      </c>
      <c r="F32" s="47">
        <v>0.9502</v>
      </c>
      <c r="G32" s="54" t="s">
        <v>261</v>
      </c>
      <c r="H32" s="49">
        <v>0.9242</v>
      </c>
      <c r="I32" s="49">
        <v>0.9463</v>
      </c>
      <c r="J32" s="54">
        <v>88.17</v>
      </c>
      <c r="K32" s="49">
        <v>0.953</v>
      </c>
      <c r="L32" s="49">
        <v>0.99</v>
      </c>
      <c r="M32" s="49">
        <v>0.932</v>
      </c>
      <c r="N32" s="46"/>
      <c r="O32" s="46"/>
      <c r="P32" s="46"/>
      <c r="Q32" s="30" t="s">
        <v>58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66" t="s">
        <v>262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4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32" t="s">
        <v>263</v>
      </c>
      <c r="C35" s="33" t="s">
        <v>214</v>
      </c>
      <c r="D35" s="91">
        <v>4.0</v>
      </c>
      <c r="E35" s="44">
        <v>2.0</v>
      </c>
      <c r="F35" s="44">
        <v>1.0</v>
      </c>
      <c r="G35" s="35">
        <v>3.0</v>
      </c>
      <c r="H35" s="35">
        <v>3.0</v>
      </c>
      <c r="I35" s="35">
        <v>4.0</v>
      </c>
      <c r="J35" s="35">
        <v>5.0</v>
      </c>
      <c r="K35" s="35">
        <v>3.0</v>
      </c>
      <c r="L35" s="35">
        <v>3.0</v>
      </c>
      <c r="M35" s="37"/>
      <c r="N35" s="37"/>
      <c r="O35" s="37"/>
      <c r="P35" s="37"/>
      <c r="Q35" s="30" t="s">
        <v>264</v>
      </c>
      <c r="R35" s="31" t="s">
        <v>54</v>
      </c>
      <c r="S35" s="1"/>
      <c r="T35" s="1"/>
      <c r="U35" s="1"/>
      <c r="V35" s="1"/>
      <c r="W35" s="1"/>
      <c r="X35" s="1"/>
      <c r="Y35" s="1"/>
      <c r="Z35" s="1"/>
    </row>
    <row r="36" ht="21.75" customHeight="1">
      <c r="A36" s="1"/>
      <c r="B36" s="25" t="s">
        <v>265</v>
      </c>
      <c r="C36" s="26" t="s">
        <v>214</v>
      </c>
      <c r="D36" s="91">
        <v>3.0</v>
      </c>
      <c r="E36" s="44">
        <v>4.0</v>
      </c>
      <c r="F36" s="44">
        <v>2.0</v>
      </c>
      <c r="G36" s="35">
        <v>2.0</v>
      </c>
      <c r="H36" s="35">
        <v>1.0</v>
      </c>
      <c r="I36" s="35">
        <v>1.0</v>
      </c>
      <c r="J36" s="35">
        <v>2.0</v>
      </c>
      <c r="K36" s="35">
        <v>4.0</v>
      </c>
      <c r="L36" s="35">
        <v>4.0</v>
      </c>
      <c r="M36" s="37"/>
      <c r="N36" s="37"/>
      <c r="O36" s="37"/>
      <c r="P36" s="37"/>
      <c r="Q36" s="30" t="s">
        <v>266</v>
      </c>
      <c r="R36" s="31" t="s">
        <v>54</v>
      </c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267</v>
      </c>
      <c r="C37" s="33" t="s">
        <v>214</v>
      </c>
      <c r="D37" s="91">
        <v>3.0</v>
      </c>
      <c r="E37" s="44">
        <v>4.0</v>
      </c>
      <c r="F37" s="44">
        <v>2.0</v>
      </c>
      <c r="G37" s="35">
        <v>3.0</v>
      </c>
      <c r="H37" s="35">
        <v>3.0</v>
      </c>
      <c r="I37" s="35">
        <v>1.0</v>
      </c>
      <c r="J37" s="35">
        <v>3.0</v>
      </c>
      <c r="K37" s="35">
        <v>5.0</v>
      </c>
      <c r="L37" s="35">
        <v>2.0</v>
      </c>
      <c r="M37" s="37"/>
      <c r="N37" s="37"/>
      <c r="O37" s="37"/>
      <c r="P37" s="37"/>
      <c r="Q37" s="30" t="s">
        <v>264</v>
      </c>
      <c r="R37" s="31" t="s">
        <v>54</v>
      </c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268</v>
      </c>
      <c r="C38" s="26" t="s">
        <v>214</v>
      </c>
      <c r="D38" s="43"/>
      <c r="E38" s="37"/>
      <c r="F38" s="35">
        <v>1.0</v>
      </c>
      <c r="G38" s="35">
        <v>1.0</v>
      </c>
      <c r="H38" s="35">
        <v>1.0</v>
      </c>
      <c r="I38" s="35">
        <v>1.0</v>
      </c>
      <c r="J38" s="35">
        <v>1.0</v>
      </c>
      <c r="K38" s="35">
        <v>1.0</v>
      </c>
      <c r="L38" s="35">
        <v>1.0</v>
      </c>
      <c r="M38" s="37"/>
      <c r="N38" s="37"/>
      <c r="O38" s="37"/>
      <c r="P38" s="37"/>
      <c r="Q38" s="30" t="s">
        <v>269</v>
      </c>
      <c r="R38" s="31" t="s">
        <v>54</v>
      </c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270</v>
      </c>
      <c r="C39" s="33" t="s">
        <v>214</v>
      </c>
      <c r="D39" s="43"/>
      <c r="E39" s="37"/>
      <c r="F39" s="37"/>
      <c r="G39" s="37"/>
      <c r="H39" s="37"/>
      <c r="I39" s="37"/>
      <c r="J39" s="35">
        <v>3.0</v>
      </c>
      <c r="K39" s="35">
        <v>6.0</v>
      </c>
      <c r="L39" s="35">
        <v>3.0</v>
      </c>
      <c r="M39" s="37"/>
      <c r="N39" s="37"/>
      <c r="O39" s="37"/>
      <c r="P39" s="37"/>
      <c r="Q39" s="30" t="s">
        <v>271</v>
      </c>
      <c r="R39" s="31" t="s">
        <v>54</v>
      </c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B1:Q1"/>
    <mergeCell ref="B3:R3"/>
    <mergeCell ref="B13:R13"/>
    <mergeCell ref="B24:R24"/>
    <mergeCell ref="B34:R34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272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273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274</v>
      </c>
      <c r="C4" s="26" t="s">
        <v>275</v>
      </c>
      <c r="D4" s="43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0" t="s">
        <v>276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277</v>
      </c>
      <c r="C5" s="33" t="s">
        <v>275</v>
      </c>
      <c r="D5" s="43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0" t="s">
        <v>278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279</v>
      </c>
      <c r="C6" s="26" t="s">
        <v>275</v>
      </c>
      <c r="D6" s="43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0" t="s">
        <v>280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281</v>
      </c>
      <c r="C7" s="33" t="s">
        <v>282</v>
      </c>
      <c r="D7" s="43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0" t="s">
        <v>283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284</v>
      </c>
      <c r="C8" s="26" t="s">
        <v>285</v>
      </c>
      <c r="D8" s="43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0" t="s">
        <v>286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287</v>
      </c>
      <c r="C9" s="33" t="s">
        <v>285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288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289</v>
      </c>
      <c r="C10" s="26" t="s">
        <v>290</v>
      </c>
      <c r="D10" s="45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30" t="s">
        <v>145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291</v>
      </c>
      <c r="C11" s="33" t="s">
        <v>292</v>
      </c>
      <c r="D11" s="45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30" t="s">
        <v>293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92" t="s">
        <v>294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295</v>
      </c>
      <c r="C14" s="26" t="s">
        <v>296</v>
      </c>
      <c r="D14" s="4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297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298</v>
      </c>
      <c r="C15" s="33" t="s">
        <v>285</v>
      </c>
      <c r="D15" s="43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288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299</v>
      </c>
      <c r="C16" s="26" t="s">
        <v>300</v>
      </c>
      <c r="D16" s="4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30" t="s">
        <v>301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302</v>
      </c>
      <c r="C17" s="33" t="s">
        <v>285</v>
      </c>
      <c r="D17" s="45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30" t="s">
        <v>303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9.5" customHeight="1">
      <c r="A19" s="1"/>
      <c r="B19" s="42" t="s">
        <v>304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4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305</v>
      </c>
      <c r="C20" s="26" t="s">
        <v>285</v>
      </c>
      <c r="D20" s="43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0" t="s">
        <v>306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307</v>
      </c>
      <c r="C21" s="33" t="s">
        <v>308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309</v>
      </c>
      <c r="C22" s="26" t="s">
        <v>285</v>
      </c>
      <c r="D22" s="43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0" t="s">
        <v>310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19:R19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6.0"/>
    <col customWidth="1" min="3" max="3" width="32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311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312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313</v>
      </c>
      <c r="C4" s="26" t="s">
        <v>314</v>
      </c>
      <c r="D4" s="28">
        <v>5940.0</v>
      </c>
      <c r="E4" s="28">
        <v>16456.0</v>
      </c>
      <c r="F4" s="28">
        <v>9551.0</v>
      </c>
      <c r="G4" s="28">
        <v>50541.0</v>
      </c>
      <c r="H4" s="28">
        <v>32510.0</v>
      </c>
      <c r="I4" s="28">
        <v>34233.0</v>
      </c>
      <c r="J4" s="28">
        <v>32802.0</v>
      </c>
      <c r="K4" s="28">
        <v>12144.0</v>
      </c>
      <c r="L4" s="28">
        <v>9721.0</v>
      </c>
      <c r="M4" s="28">
        <v>15625.0</v>
      </c>
      <c r="N4" s="29"/>
      <c r="O4" s="29"/>
      <c r="P4" s="29"/>
      <c r="Q4" s="30" t="s">
        <v>315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316</v>
      </c>
      <c r="C5" s="33" t="s">
        <v>317</v>
      </c>
      <c r="D5" s="35">
        <v>8.0</v>
      </c>
      <c r="E5" s="35">
        <v>14.0</v>
      </c>
      <c r="F5" s="35">
        <v>21.0</v>
      </c>
      <c r="G5" s="35">
        <v>29.0</v>
      </c>
      <c r="H5" s="35">
        <v>7.0</v>
      </c>
      <c r="I5" s="35">
        <v>14.0</v>
      </c>
      <c r="J5" s="35">
        <v>22.0</v>
      </c>
      <c r="K5" s="35">
        <v>28.0</v>
      </c>
      <c r="L5" s="35">
        <v>7.0</v>
      </c>
      <c r="M5" s="35">
        <v>14.0</v>
      </c>
      <c r="N5" s="37"/>
      <c r="O5" s="37"/>
      <c r="P5" s="37"/>
      <c r="Q5" s="30" t="s">
        <v>118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318</v>
      </c>
      <c r="C6" s="26" t="s">
        <v>319</v>
      </c>
      <c r="D6" s="28" t="s">
        <v>320</v>
      </c>
      <c r="E6" s="28" t="s">
        <v>321</v>
      </c>
      <c r="F6" s="28" t="s">
        <v>322</v>
      </c>
      <c r="G6" s="28">
        <v>82488.0</v>
      </c>
      <c r="H6" s="28">
        <v>96704.0</v>
      </c>
      <c r="I6" s="28">
        <v>96704.0</v>
      </c>
      <c r="J6" s="28">
        <v>96704.23</v>
      </c>
      <c r="K6" s="28">
        <v>64873.0</v>
      </c>
      <c r="L6" s="28">
        <v>132016.0</v>
      </c>
      <c r="M6" s="28">
        <v>6713.0</v>
      </c>
      <c r="N6" s="29"/>
      <c r="O6" s="29"/>
      <c r="P6" s="29"/>
      <c r="Q6" s="30" t="s">
        <v>323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324</v>
      </c>
      <c r="C7" s="93" t="s">
        <v>325</v>
      </c>
      <c r="D7" s="94"/>
      <c r="E7" s="94"/>
      <c r="F7" s="94"/>
      <c r="G7" s="29"/>
      <c r="H7" s="29"/>
      <c r="I7" s="29"/>
      <c r="J7" s="29"/>
      <c r="K7" s="29"/>
      <c r="L7" s="29"/>
      <c r="M7" s="29"/>
      <c r="N7" s="29"/>
      <c r="O7" s="29"/>
      <c r="P7" s="29"/>
      <c r="Q7" s="30" t="s">
        <v>326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327</v>
      </c>
      <c r="C8" s="26" t="s">
        <v>328</v>
      </c>
      <c r="D8" s="49">
        <v>0.06</v>
      </c>
      <c r="E8" s="49">
        <v>0.23</v>
      </c>
      <c r="F8" s="49">
        <v>0.25</v>
      </c>
      <c r="G8" s="49">
        <v>1.07</v>
      </c>
      <c r="H8" s="49">
        <v>0.34</v>
      </c>
      <c r="I8" s="50">
        <v>0.42</v>
      </c>
      <c r="J8" s="49">
        <v>0.41</v>
      </c>
      <c r="K8" s="49">
        <v>0.19</v>
      </c>
      <c r="L8" s="54" t="s">
        <v>329</v>
      </c>
      <c r="M8" s="49">
        <v>0.23</v>
      </c>
      <c r="N8" s="46"/>
      <c r="O8" s="46"/>
      <c r="P8" s="46"/>
      <c r="Q8" s="30" t="s">
        <v>330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331</v>
      </c>
      <c r="C9" s="33" t="s">
        <v>285</v>
      </c>
      <c r="D9" s="43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0" t="s">
        <v>332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333</v>
      </c>
      <c r="C10" s="26" t="s">
        <v>334</v>
      </c>
      <c r="D10" s="43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6" t="s">
        <v>335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4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336</v>
      </c>
      <c r="C13" s="33" t="s">
        <v>337</v>
      </c>
      <c r="D13" s="28" t="s">
        <v>338</v>
      </c>
      <c r="E13" s="28" t="s">
        <v>339</v>
      </c>
      <c r="F13" s="28">
        <v>1825.39</v>
      </c>
      <c r="G13" s="28">
        <v>2722.43</v>
      </c>
      <c r="H13" s="28" t="s">
        <v>340</v>
      </c>
      <c r="I13" s="28">
        <v>1805.0</v>
      </c>
      <c r="J13" s="28">
        <v>2287.0</v>
      </c>
      <c r="K13" s="28">
        <v>2311.5</v>
      </c>
      <c r="L13" s="28">
        <v>1549.0</v>
      </c>
      <c r="M13" s="29"/>
      <c r="N13" s="29"/>
      <c r="O13" s="29"/>
      <c r="P13" s="29"/>
      <c r="Q13" s="30" t="s">
        <v>341</v>
      </c>
      <c r="R13" s="31" t="s">
        <v>54</v>
      </c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342</v>
      </c>
      <c r="C14" s="26" t="s">
        <v>343</v>
      </c>
      <c r="D14" s="94"/>
      <c r="E14" s="94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344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345</v>
      </c>
      <c r="C15" s="33" t="s">
        <v>285</v>
      </c>
      <c r="D15" s="95">
        <v>11.0</v>
      </c>
      <c r="E15" s="96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0" t="s">
        <v>346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347</v>
      </c>
      <c r="C16" s="26" t="s">
        <v>285</v>
      </c>
      <c r="D16" s="95" t="s">
        <v>348</v>
      </c>
      <c r="E16" s="96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0" t="s">
        <v>349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350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4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351</v>
      </c>
      <c r="C19" s="33" t="s">
        <v>352</v>
      </c>
      <c r="D19" s="4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353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354</v>
      </c>
      <c r="C20" s="26" t="s">
        <v>355</v>
      </c>
      <c r="D20" s="97"/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30" t="s">
        <v>356</v>
      </c>
      <c r="R20" s="31" t="s">
        <v>54</v>
      </c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357</v>
      </c>
      <c r="C21" s="33" t="s">
        <v>285</v>
      </c>
      <c r="D21" s="43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0" t="s">
        <v>358</v>
      </c>
      <c r="R21" s="31" t="s">
        <v>54</v>
      </c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359</v>
      </c>
      <c r="C22" s="26" t="s">
        <v>360</v>
      </c>
      <c r="D22" s="40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30" t="s">
        <v>361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2:R12"/>
    <mergeCell ref="B18:R18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2.0" topLeftCell="D3" activePane="bottomRight" state="frozen"/>
      <selection activeCell="D1" sqref="D1" pane="topRight"/>
      <selection activeCell="A3" sqref="A3" pane="bottomLeft"/>
      <selection activeCell="D3" sqref="D3" pane="bottomRight"/>
    </sheetView>
  </sheetViews>
  <sheetFormatPr customHeight="1" defaultColWidth="14.43" defaultRowHeight="15.0"/>
  <cols>
    <col customWidth="1" min="1" max="1" width="3.0"/>
    <col customWidth="1" min="2" max="2" width="40.0"/>
    <col customWidth="1" min="3" max="3" width="30.0"/>
    <col customWidth="1" min="4" max="16" width="12.0"/>
    <col customWidth="1" min="17" max="17" width="14.0"/>
    <col customWidth="1" min="18" max="18" width="18.0"/>
  </cols>
  <sheetData>
    <row r="1" ht="27.75" customHeight="1">
      <c r="A1" s="1"/>
      <c r="B1" s="18" t="s">
        <v>362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4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0" t="s">
        <v>33</v>
      </c>
      <c r="C2" s="21" t="s">
        <v>34</v>
      </c>
      <c r="D2" s="22" t="s">
        <v>35</v>
      </c>
      <c r="E2" s="21" t="s">
        <v>36</v>
      </c>
      <c r="F2" s="21" t="s">
        <v>37</v>
      </c>
      <c r="G2" s="21" t="s">
        <v>38</v>
      </c>
      <c r="H2" s="21" t="s">
        <v>39</v>
      </c>
      <c r="I2" s="21" t="s">
        <v>40</v>
      </c>
      <c r="J2" s="21" t="s">
        <v>41</v>
      </c>
      <c r="K2" s="21" t="s">
        <v>42</v>
      </c>
      <c r="L2" s="21" t="s">
        <v>43</v>
      </c>
      <c r="M2" s="21" t="s">
        <v>44</v>
      </c>
      <c r="N2" s="21" t="s">
        <v>45</v>
      </c>
      <c r="O2" s="21" t="s">
        <v>46</v>
      </c>
      <c r="P2" s="21" t="s">
        <v>47</v>
      </c>
      <c r="Q2" s="23" t="s">
        <v>48</v>
      </c>
      <c r="R2" s="23" t="s">
        <v>49</v>
      </c>
      <c r="S2" s="1"/>
      <c r="T2" s="1"/>
      <c r="U2" s="1"/>
      <c r="V2" s="1"/>
      <c r="W2" s="1"/>
      <c r="X2" s="1"/>
      <c r="Y2" s="1"/>
      <c r="Z2" s="1"/>
    </row>
    <row r="3" ht="19.5" customHeight="1">
      <c r="A3" s="1"/>
      <c r="B3" s="24" t="s">
        <v>363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1"/>
      <c r="T3" s="1"/>
      <c r="U3" s="1"/>
      <c r="V3" s="1"/>
      <c r="W3" s="1"/>
      <c r="X3" s="1"/>
      <c r="Y3" s="1"/>
      <c r="Z3" s="1"/>
    </row>
    <row r="4" ht="21.75" customHeight="1">
      <c r="A4" s="1"/>
      <c r="B4" s="25" t="s">
        <v>364</v>
      </c>
      <c r="C4" s="26" t="s">
        <v>365</v>
      </c>
      <c r="D4" s="40">
        <v>245.96</v>
      </c>
      <c r="E4" s="29" t="s">
        <v>366</v>
      </c>
      <c r="F4" s="41" t="s">
        <v>367</v>
      </c>
      <c r="G4" s="28">
        <v>173.75</v>
      </c>
      <c r="H4" s="28">
        <v>103.01</v>
      </c>
      <c r="I4" s="28">
        <v>172.38</v>
      </c>
      <c r="J4" s="28">
        <v>174.19</v>
      </c>
      <c r="K4" s="28">
        <v>152.0</v>
      </c>
      <c r="L4" s="28">
        <v>298.15</v>
      </c>
      <c r="M4" s="28">
        <v>178.0</v>
      </c>
      <c r="N4" s="29"/>
      <c r="O4" s="29"/>
      <c r="P4" s="29"/>
      <c r="Q4" s="30" t="s">
        <v>368</v>
      </c>
      <c r="R4" s="31" t="s">
        <v>54</v>
      </c>
      <c r="S4" s="1"/>
      <c r="T4" s="1"/>
      <c r="U4" s="1"/>
      <c r="V4" s="1"/>
      <c r="W4" s="1"/>
      <c r="X4" s="1"/>
      <c r="Y4" s="1"/>
      <c r="Z4" s="1"/>
    </row>
    <row r="5" ht="21.75" customHeight="1">
      <c r="A5" s="1"/>
      <c r="B5" s="32" t="s">
        <v>369</v>
      </c>
      <c r="C5" s="33" t="s">
        <v>370</v>
      </c>
      <c r="D5" s="40" t="s">
        <v>371</v>
      </c>
      <c r="E5" s="29" t="s">
        <v>372</v>
      </c>
      <c r="F5" s="41" t="s">
        <v>373</v>
      </c>
      <c r="G5" s="28">
        <v>56.95</v>
      </c>
      <c r="H5" s="28">
        <v>179.9</v>
      </c>
      <c r="I5" s="28">
        <v>231.88</v>
      </c>
      <c r="J5" s="28">
        <v>535.0</v>
      </c>
      <c r="K5" s="28">
        <v>80.0</v>
      </c>
      <c r="L5" s="28">
        <v>149.08</v>
      </c>
      <c r="M5" s="28">
        <v>156.0</v>
      </c>
      <c r="N5" s="29"/>
      <c r="O5" s="29"/>
      <c r="P5" s="29"/>
      <c r="Q5" s="30" t="s">
        <v>374</v>
      </c>
      <c r="R5" s="31" t="s">
        <v>54</v>
      </c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375</v>
      </c>
      <c r="C6" s="26" t="s">
        <v>376</v>
      </c>
      <c r="D6" s="98">
        <v>1.62</v>
      </c>
      <c r="E6" s="99">
        <v>2.86</v>
      </c>
      <c r="F6" s="100">
        <v>2.12</v>
      </c>
      <c r="G6" s="101">
        <v>0.33</v>
      </c>
      <c r="H6" s="101">
        <v>1.75</v>
      </c>
      <c r="I6" s="101">
        <v>1.35</v>
      </c>
      <c r="J6" s="101">
        <v>0.3</v>
      </c>
      <c r="K6" s="101">
        <v>0.52</v>
      </c>
      <c r="L6" s="101">
        <v>0.46</v>
      </c>
      <c r="M6" s="101">
        <v>0.15</v>
      </c>
      <c r="N6" s="99"/>
      <c r="O6" s="99"/>
      <c r="P6" s="99"/>
      <c r="Q6" s="30" t="s">
        <v>377</v>
      </c>
      <c r="R6" s="31" t="s">
        <v>54</v>
      </c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378</v>
      </c>
      <c r="C7" s="33" t="s">
        <v>379</v>
      </c>
      <c r="D7" s="102">
        <v>1.55</v>
      </c>
      <c r="E7" s="103">
        <v>1.19</v>
      </c>
      <c r="F7" s="104">
        <v>2.14</v>
      </c>
      <c r="G7" s="105">
        <v>2.09</v>
      </c>
      <c r="H7" s="105">
        <v>1.91</v>
      </c>
      <c r="I7" s="105">
        <v>4.93</v>
      </c>
      <c r="J7" s="105">
        <v>4.84</v>
      </c>
      <c r="K7" s="105">
        <v>3.39</v>
      </c>
      <c r="L7" s="105">
        <v>4.45</v>
      </c>
      <c r="M7" s="105">
        <v>3.64</v>
      </c>
      <c r="N7" s="103"/>
      <c r="O7" s="103"/>
      <c r="P7" s="103"/>
      <c r="Q7" s="30" t="s">
        <v>380</v>
      </c>
      <c r="R7" s="31" t="s">
        <v>54</v>
      </c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381</v>
      </c>
      <c r="C8" s="26" t="s">
        <v>382</v>
      </c>
      <c r="D8" s="102">
        <v>7.75</v>
      </c>
      <c r="E8" s="103">
        <v>9.43</v>
      </c>
      <c r="F8" s="104">
        <v>10.28</v>
      </c>
      <c r="G8" s="105">
        <v>11.03</v>
      </c>
      <c r="H8" s="105">
        <v>10.43</v>
      </c>
      <c r="I8" s="105">
        <v>13.0</v>
      </c>
      <c r="J8" s="105">
        <v>14.23</v>
      </c>
      <c r="K8" s="105">
        <v>14.48</v>
      </c>
      <c r="L8" s="105">
        <v>12.98</v>
      </c>
      <c r="M8" s="105">
        <v>14.11</v>
      </c>
      <c r="N8" s="103"/>
      <c r="O8" s="103"/>
      <c r="P8" s="103"/>
      <c r="Q8" s="30" t="s">
        <v>58</v>
      </c>
      <c r="R8" s="31" t="s">
        <v>54</v>
      </c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383</v>
      </c>
      <c r="C9" s="33" t="s">
        <v>384</v>
      </c>
      <c r="D9" s="58">
        <v>0.005</v>
      </c>
      <c r="E9" s="59">
        <v>0.0079</v>
      </c>
      <c r="F9" s="106">
        <v>0.0048</v>
      </c>
      <c r="G9" s="48">
        <v>0.0053</v>
      </c>
      <c r="H9" s="54">
        <v>0.55</v>
      </c>
      <c r="I9" s="54">
        <v>0.26</v>
      </c>
      <c r="J9" s="48">
        <v>0.0029</v>
      </c>
      <c r="K9" s="48">
        <v>0.0043</v>
      </c>
      <c r="L9" s="48">
        <v>0.0029</v>
      </c>
      <c r="M9" s="48">
        <v>0.0028</v>
      </c>
      <c r="N9" s="59"/>
      <c r="O9" s="59"/>
      <c r="P9" s="59"/>
      <c r="Q9" s="30" t="s">
        <v>385</v>
      </c>
      <c r="R9" s="31" t="s">
        <v>54</v>
      </c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386</v>
      </c>
      <c r="C10" s="26" t="s">
        <v>387</v>
      </c>
      <c r="D10" s="43">
        <v>3.0</v>
      </c>
      <c r="E10" s="37">
        <v>4.0</v>
      </c>
      <c r="F10" s="44">
        <v>5.0</v>
      </c>
      <c r="G10" s="35">
        <v>1.0</v>
      </c>
      <c r="H10" s="35">
        <v>2.0</v>
      </c>
      <c r="I10" s="35">
        <v>3.0</v>
      </c>
      <c r="J10" s="35">
        <v>1.0</v>
      </c>
      <c r="K10" s="35">
        <v>2.0</v>
      </c>
      <c r="L10" s="35">
        <v>2.0</v>
      </c>
      <c r="M10" s="35">
        <v>2.0</v>
      </c>
      <c r="N10" s="37"/>
      <c r="O10" s="37"/>
      <c r="P10" s="37"/>
      <c r="Q10" s="30" t="s">
        <v>58</v>
      </c>
      <c r="R10" s="31" t="s">
        <v>54</v>
      </c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B11" s="32" t="s">
        <v>388</v>
      </c>
      <c r="C11" s="33" t="s">
        <v>389</v>
      </c>
      <c r="D11" s="40">
        <v>81.99</v>
      </c>
      <c r="E11" s="29" t="s">
        <v>390</v>
      </c>
      <c r="F11" s="41">
        <v>33.28</v>
      </c>
      <c r="G11" s="28">
        <v>174.0</v>
      </c>
      <c r="H11" s="28">
        <v>51.51</v>
      </c>
      <c r="I11" s="28">
        <v>57.46</v>
      </c>
      <c r="J11" s="28">
        <v>174.19</v>
      </c>
      <c r="K11" s="28">
        <v>79.85</v>
      </c>
      <c r="L11" s="28">
        <v>149.0</v>
      </c>
      <c r="M11" s="28">
        <v>89.0</v>
      </c>
      <c r="N11" s="29"/>
      <c r="O11" s="29"/>
      <c r="P11" s="29"/>
      <c r="Q11" s="30" t="s">
        <v>391</v>
      </c>
      <c r="R11" s="31" t="s">
        <v>54</v>
      </c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9.5" customHeight="1">
      <c r="A13" s="1"/>
      <c r="B13" s="66" t="s">
        <v>392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4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393</v>
      </c>
      <c r="C14" s="26" t="s">
        <v>394</v>
      </c>
      <c r="D14" s="51">
        <v>114.0</v>
      </c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30" t="s">
        <v>368</v>
      </c>
      <c r="R14" s="31" t="s">
        <v>54</v>
      </c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395</v>
      </c>
      <c r="C15" s="33" t="s">
        <v>396</v>
      </c>
      <c r="D15" s="51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30" t="s">
        <v>374</v>
      </c>
      <c r="R15" s="31" t="s">
        <v>54</v>
      </c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397</v>
      </c>
      <c r="C16" s="26" t="s">
        <v>376</v>
      </c>
      <c r="D16" s="107">
        <v>0.0</v>
      </c>
      <c r="E16" s="99"/>
      <c r="F16" s="99"/>
      <c r="G16" s="99"/>
      <c r="H16" s="99"/>
      <c r="I16" s="99"/>
      <c r="J16" s="99"/>
      <c r="K16" s="99"/>
      <c r="L16" s="99"/>
      <c r="M16" s="99"/>
      <c r="N16" s="99"/>
      <c r="O16" s="99"/>
      <c r="P16" s="99"/>
      <c r="Q16" s="30" t="s">
        <v>377</v>
      </c>
      <c r="R16" s="31" t="s">
        <v>54</v>
      </c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32" t="s">
        <v>398</v>
      </c>
      <c r="C17" s="33" t="s">
        <v>399</v>
      </c>
      <c r="D17" s="108">
        <v>0.79</v>
      </c>
      <c r="E17" s="103"/>
      <c r="F17" s="103"/>
      <c r="G17" s="103"/>
      <c r="H17" s="103"/>
      <c r="I17" s="103"/>
      <c r="J17" s="103"/>
      <c r="K17" s="103"/>
      <c r="L17" s="103"/>
      <c r="M17" s="103"/>
      <c r="N17" s="103"/>
      <c r="O17" s="103"/>
      <c r="P17" s="103"/>
      <c r="Q17" s="30" t="s">
        <v>400</v>
      </c>
      <c r="R17" s="31" t="s">
        <v>54</v>
      </c>
      <c r="S17" s="1"/>
      <c r="T17" s="1"/>
      <c r="U17" s="1"/>
      <c r="V17" s="1"/>
      <c r="W17" s="1"/>
      <c r="X17" s="1"/>
      <c r="Y17" s="1"/>
      <c r="Z17" s="1"/>
    </row>
    <row r="18" ht="21.75" customHeight="1">
      <c r="A18" s="1"/>
      <c r="B18" s="25" t="s">
        <v>401</v>
      </c>
      <c r="C18" s="26" t="s">
        <v>402</v>
      </c>
      <c r="D18" s="62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30" t="s">
        <v>145</v>
      </c>
      <c r="R18" s="31" t="s">
        <v>54</v>
      </c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403</v>
      </c>
      <c r="C19" s="33" t="s">
        <v>389</v>
      </c>
      <c r="D19" s="62">
        <v>14.5</v>
      </c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30" t="s">
        <v>391</v>
      </c>
      <c r="R19" s="31" t="s">
        <v>54</v>
      </c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B21" s="109" t="s">
        <v>404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4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405</v>
      </c>
      <c r="C22" s="93" t="s">
        <v>406</v>
      </c>
      <c r="D22" s="40">
        <v>441.0</v>
      </c>
      <c r="E22" s="29" t="s">
        <v>407</v>
      </c>
      <c r="F22" s="41">
        <v>431.74</v>
      </c>
      <c r="G22" s="41">
        <v>344.44</v>
      </c>
      <c r="H22" s="28">
        <v>202.0</v>
      </c>
      <c r="I22" s="28">
        <v>399.85</v>
      </c>
      <c r="J22" s="28">
        <v>399.0</v>
      </c>
      <c r="K22" s="28">
        <v>465.61</v>
      </c>
      <c r="L22" s="28">
        <v>334.0</v>
      </c>
      <c r="M22" s="28">
        <v>413.69</v>
      </c>
      <c r="N22" s="29"/>
      <c r="O22" s="29"/>
      <c r="P22" s="29"/>
      <c r="Q22" s="30" t="s">
        <v>368</v>
      </c>
      <c r="R22" s="31" t="s">
        <v>54</v>
      </c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408</v>
      </c>
      <c r="C23" s="110" t="s">
        <v>409</v>
      </c>
      <c r="D23" s="40" t="s">
        <v>410</v>
      </c>
      <c r="E23" s="29" t="s">
        <v>411</v>
      </c>
      <c r="F23" s="41">
        <v>464.62</v>
      </c>
      <c r="G23" s="28">
        <v>785.1</v>
      </c>
      <c r="H23" s="28">
        <v>560.93</v>
      </c>
      <c r="I23" s="28">
        <v>652.29</v>
      </c>
      <c r="J23" s="28">
        <v>983.26</v>
      </c>
      <c r="K23" s="28">
        <v>823.43</v>
      </c>
      <c r="L23" s="28">
        <v>750.0</v>
      </c>
      <c r="M23" s="28">
        <v>813.73</v>
      </c>
      <c r="N23" s="29"/>
      <c r="O23" s="29"/>
      <c r="P23" s="29"/>
      <c r="Q23" s="30" t="s">
        <v>412</v>
      </c>
      <c r="R23" s="31" t="s">
        <v>54</v>
      </c>
      <c r="S23" s="1"/>
      <c r="T23" s="1"/>
      <c r="U23" s="1"/>
      <c r="V23" s="1"/>
      <c r="W23" s="1"/>
      <c r="X23" s="1"/>
      <c r="Y23" s="1"/>
      <c r="Z23" s="1"/>
    </row>
    <row r="24" ht="21.75" customHeight="1">
      <c r="A24" s="1"/>
      <c r="B24" s="25" t="s">
        <v>413</v>
      </c>
      <c r="C24" s="93" t="s">
        <v>376</v>
      </c>
      <c r="D24" s="98">
        <v>258.34</v>
      </c>
      <c r="E24" s="99">
        <v>1.14</v>
      </c>
      <c r="F24" s="100">
        <v>1.08</v>
      </c>
      <c r="G24" s="101">
        <v>2.28</v>
      </c>
      <c r="H24" s="101">
        <v>277.86</v>
      </c>
      <c r="I24" s="101">
        <v>1.63</v>
      </c>
      <c r="J24" s="101">
        <v>246.85</v>
      </c>
      <c r="K24" s="101">
        <v>1.77</v>
      </c>
      <c r="L24" s="101">
        <v>2.25</v>
      </c>
      <c r="M24" s="101">
        <v>1.97</v>
      </c>
      <c r="N24" s="99"/>
      <c r="O24" s="99"/>
      <c r="P24" s="99"/>
      <c r="Q24" s="30" t="s">
        <v>414</v>
      </c>
      <c r="R24" s="31" t="s">
        <v>54</v>
      </c>
      <c r="S24" s="1"/>
      <c r="T24" s="1"/>
      <c r="U24" s="1"/>
      <c r="V24" s="1"/>
      <c r="W24" s="1"/>
      <c r="X24" s="1"/>
      <c r="Y24" s="1"/>
      <c r="Z24" s="1"/>
    </row>
    <row r="25" ht="21.75" customHeight="1">
      <c r="A25" s="1"/>
      <c r="B25" s="32" t="s">
        <v>415</v>
      </c>
      <c r="C25" s="110" t="s">
        <v>416</v>
      </c>
      <c r="D25" s="102">
        <v>2.47</v>
      </c>
      <c r="E25" s="103">
        <v>2.23</v>
      </c>
      <c r="F25" s="104">
        <v>2.54</v>
      </c>
      <c r="G25" s="105">
        <v>2.06</v>
      </c>
      <c r="H25" s="105">
        <v>2.19</v>
      </c>
      <c r="I25" s="105">
        <v>1.93</v>
      </c>
      <c r="J25" s="105">
        <v>2.31</v>
      </c>
      <c r="K25" s="105">
        <v>2.28</v>
      </c>
      <c r="L25" s="105">
        <v>2.17</v>
      </c>
      <c r="M25" s="105">
        <v>1.99</v>
      </c>
      <c r="N25" s="103"/>
      <c r="O25" s="103"/>
      <c r="P25" s="103"/>
      <c r="Q25" s="30" t="s">
        <v>417</v>
      </c>
      <c r="R25" s="31" t="s">
        <v>54</v>
      </c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418</v>
      </c>
      <c r="C26" s="93" t="s">
        <v>419</v>
      </c>
      <c r="D26" s="58">
        <v>0.0112</v>
      </c>
      <c r="E26" s="59">
        <v>0.0103</v>
      </c>
      <c r="F26" s="106">
        <v>0.0123</v>
      </c>
      <c r="G26" s="48">
        <v>0.0173</v>
      </c>
      <c r="H26" s="48">
        <v>0.0431</v>
      </c>
      <c r="I26" s="48">
        <v>0.0154</v>
      </c>
      <c r="J26" s="48">
        <v>0.0126</v>
      </c>
      <c r="K26" s="48">
        <v>0.0235</v>
      </c>
      <c r="L26" s="54">
        <v>1.54</v>
      </c>
      <c r="M26" s="48">
        <v>0.0155</v>
      </c>
      <c r="N26" s="59"/>
      <c r="O26" s="59"/>
      <c r="P26" s="59"/>
      <c r="Q26" s="30" t="s">
        <v>124</v>
      </c>
      <c r="R26" s="31" t="s">
        <v>54</v>
      </c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420</v>
      </c>
      <c r="C27" s="110" t="s">
        <v>421</v>
      </c>
      <c r="D27" s="43">
        <v>12.9</v>
      </c>
      <c r="E27" s="37">
        <v>7.6</v>
      </c>
      <c r="F27" s="44">
        <v>9.0</v>
      </c>
      <c r="G27" s="35">
        <v>12.0</v>
      </c>
      <c r="H27" s="35">
        <v>3.0</v>
      </c>
      <c r="I27" s="35">
        <v>11.0</v>
      </c>
      <c r="J27" s="35">
        <v>12.85</v>
      </c>
      <c r="K27" s="35">
        <v>28.0</v>
      </c>
      <c r="L27" s="35">
        <v>13.0</v>
      </c>
      <c r="M27" s="35">
        <v>15.0</v>
      </c>
      <c r="N27" s="37"/>
      <c r="O27" s="37"/>
      <c r="P27" s="37"/>
      <c r="Q27" s="30" t="s">
        <v>58</v>
      </c>
      <c r="R27" s="31" t="s">
        <v>54</v>
      </c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422</v>
      </c>
      <c r="C28" s="93" t="s">
        <v>389</v>
      </c>
      <c r="D28" s="40" t="s">
        <v>423</v>
      </c>
      <c r="E28" s="29">
        <v>52.31</v>
      </c>
      <c r="F28" s="41" t="s">
        <v>424</v>
      </c>
      <c r="G28" s="28">
        <v>28.65</v>
      </c>
      <c r="H28" s="28">
        <v>25.51</v>
      </c>
      <c r="I28" s="28">
        <v>34.27</v>
      </c>
      <c r="J28" s="28">
        <v>32.0</v>
      </c>
      <c r="K28" s="28">
        <v>16.5</v>
      </c>
      <c r="L28" s="28">
        <v>25.43</v>
      </c>
      <c r="M28" s="28">
        <v>28.0</v>
      </c>
      <c r="N28" s="29"/>
      <c r="O28" s="29"/>
      <c r="P28" s="29"/>
      <c r="Q28" s="30" t="s">
        <v>391</v>
      </c>
      <c r="R28" s="31" t="s">
        <v>54</v>
      </c>
      <c r="S28" s="1"/>
      <c r="T28" s="1"/>
      <c r="U28" s="1"/>
      <c r="V28" s="1"/>
      <c r="W28" s="1"/>
      <c r="X28" s="1"/>
      <c r="Y28" s="1"/>
      <c r="Z28" s="1"/>
    </row>
    <row r="29" ht="21.75" customHeight="1">
      <c r="A29" s="1"/>
      <c r="B29" s="32" t="s">
        <v>425</v>
      </c>
      <c r="C29" s="110" t="s">
        <v>426</v>
      </c>
      <c r="D29" s="111">
        <v>10.0</v>
      </c>
      <c r="E29" s="112">
        <v>10.0</v>
      </c>
      <c r="F29" s="113">
        <v>8.0</v>
      </c>
      <c r="G29" s="114">
        <v>10.0</v>
      </c>
      <c r="H29" s="114">
        <v>10.0</v>
      </c>
      <c r="I29" s="114">
        <v>10.0</v>
      </c>
      <c r="J29" s="114">
        <v>10.0</v>
      </c>
      <c r="K29" s="114">
        <v>10.0</v>
      </c>
      <c r="L29" s="114">
        <v>10.0</v>
      </c>
      <c r="M29" s="114">
        <v>9.0</v>
      </c>
      <c r="N29" s="112"/>
      <c r="O29" s="112"/>
      <c r="P29" s="112"/>
      <c r="Q29" s="30" t="s">
        <v>427</v>
      </c>
      <c r="R29" s="31" t="s">
        <v>54</v>
      </c>
      <c r="S29" s="1"/>
      <c r="T29" s="1"/>
      <c r="U29" s="1"/>
      <c r="V29" s="1"/>
      <c r="W29" s="1"/>
      <c r="X29" s="1"/>
      <c r="Y29" s="1"/>
      <c r="Z29" s="1"/>
    </row>
    <row r="30" ht="36.0" customHeight="1">
      <c r="A30" s="1"/>
      <c r="B30" s="25" t="s">
        <v>428</v>
      </c>
      <c r="C30" s="26" t="s">
        <v>429</v>
      </c>
      <c r="D30" s="4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30" t="s">
        <v>368</v>
      </c>
      <c r="R30" s="31" t="s">
        <v>54</v>
      </c>
      <c r="S30" s="1"/>
      <c r="T30" s="1"/>
      <c r="U30" s="1"/>
      <c r="V30" s="1"/>
      <c r="W30" s="1"/>
      <c r="X30" s="1"/>
      <c r="Y30" s="1"/>
      <c r="Z30" s="1"/>
    </row>
    <row r="31" ht="23.25" customHeight="1">
      <c r="A31" s="1"/>
      <c r="B31" s="32" t="s">
        <v>430</v>
      </c>
      <c r="C31" s="33" t="s">
        <v>431</v>
      </c>
      <c r="D31" s="4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30" t="s">
        <v>374</v>
      </c>
      <c r="R31" s="31" t="s">
        <v>54</v>
      </c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25" t="s">
        <v>432</v>
      </c>
      <c r="C32" s="26" t="s">
        <v>433</v>
      </c>
      <c r="D32" s="98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99"/>
      <c r="P32" s="99"/>
      <c r="Q32" s="30" t="s">
        <v>377</v>
      </c>
      <c r="R32" s="31" t="s">
        <v>54</v>
      </c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32" t="s">
        <v>434</v>
      </c>
      <c r="C33" s="33" t="s">
        <v>435</v>
      </c>
      <c r="D33" s="4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30" t="s">
        <v>391</v>
      </c>
      <c r="R33" s="31" t="s">
        <v>54</v>
      </c>
      <c r="S33" s="1"/>
      <c r="T33" s="1"/>
      <c r="U33" s="1"/>
      <c r="V33" s="1"/>
      <c r="W33" s="1"/>
      <c r="X33" s="1"/>
      <c r="Y33" s="1"/>
      <c r="Z33" s="1"/>
    </row>
    <row r="34" ht="15.0" customHeight="1">
      <c r="A34" s="1"/>
      <c r="B34" s="25" t="s">
        <v>436</v>
      </c>
      <c r="C34" s="26" t="s">
        <v>437</v>
      </c>
      <c r="D34" s="45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30" t="s">
        <v>438</v>
      </c>
      <c r="R34" s="31" t="s">
        <v>54</v>
      </c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">
    <mergeCell ref="B1:Q1"/>
    <mergeCell ref="B3:R3"/>
    <mergeCell ref="B13:R13"/>
    <mergeCell ref="B21:R21"/>
  </mergeCells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3.0"/>
    <col customWidth="1" min="2" max="2" width="36.0"/>
    <col customWidth="1" min="3" max="4" width="22.0"/>
    <col customWidth="1" min="5" max="5" width="16.0"/>
    <col customWidth="1" min="6" max="6" width="18.0"/>
    <col customWidth="1" min="7" max="7" width="22.0"/>
  </cols>
  <sheetData>
    <row r="1" ht="30.0" customHeight="1">
      <c r="A1" s="1"/>
      <c r="B1" s="2" t="s">
        <v>439</v>
      </c>
      <c r="C1" s="3"/>
      <c r="D1" s="3"/>
      <c r="E1" s="3"/>
      <c r="F1" s="3"/>
      <c r="G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8.0" customHeight="1">
      <c r="A2" s="1"/>
      <c r="B2" s="5" t="s">
        <v>440</v>
      </c>
      <c r="C2" s="3"/>
      <c r="D2" s="3"/>
      <c r="E2" s="3"/>
      <c r="F2" s="3"/>
      <c r="G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9.5" customHeight="1">
      <c r="A4" s="1"/>
      <c r="B4" s="22" t="s">
        <v>441</v>
      </c>
      <c r="C4" s="22" t="s">
        <v>442</v>
      </c>
      <c r="D4" s="22" t="s">
        <v>443</v>
      </c>
      <c r="E4" s="22" t="s">
        <v>444</v>
      </c>
      <c r="F4" s="22" t="s">
        <v>445</v>
      </c>
      <c r="G4" s="22" t="s">
        <v>446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9.5" customHeight="1">
      <c r="A5" s="1"/>
      <c r="B5" s="24" t="s">
        <v>447</v>
      </c>
      <c r="C5" s="3"/>
      <c r="D5" s="3"/>
      <c r="E5" s="3"/>
      <c r="F5" s="3"/>
      <c r="G5" s="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1.75" customHeight="1">
      <c r="A6" s="1"/>
      <c r="B6" s="25" t="s">
        <v>51</v>
      </c>
      <c r="C6" s="115">
        <f>'🛒 Shopify &amp; Revenue'!D5</f>
        <v>2467.76</v>
      </c>
      <c r="D6" s="116" t="s">
        <v>53</v>
      </c>
      <c r="E6" s="17" t="s">
        <v>448</v>
      </c>
      <c r="F6" s="117" t="s">
        <v>449</v>
      </c>
      <c r="G6" s="118" t="s">
        <v>450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1.75" customHeight="1">
      <c r="A7" s="1"/>
      <c r="B7" s="32" t="s">
        <v>451</v>
      </c>
      <c r="C7" s="119">
        <f>'🛒 Shopify &amp; Revenue'!D8</f>
        <v>1855.79</v>
      </c>
      <c r="D7" s="120" t="s">
        <v>452</v>
      </c>
      <c r="E7" s="17" t="s">
        <v>448</v>
      </c>
      <c r="F7" s="121" t="s">
        <v>449</v>
      </c>
      <c r="G7" s="122" t="s">
        <v>453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1.75" customHeight="1">
      <c r="A8" s="1"/>
      <c r="B8" s="25" t="s">
        <v>76</v>
      </c>
      <c r="C8" s="123">
        <f>'🛒 Shopify &amp; Revenue'!D12</f>
        <v>19</v>
      </c>
      <c r="D8" s="116" t="s">
        <v>78</v>
      </c>
      <c r="E8" s="17" t="s">
        <v>448</v>
      </c>
      <c r="F8" s="117" t="s">
        <v>449</v>
      </c>
      <c r="G8" s="118" t="s">
        <v>454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1.75" customHeight="1">
      <c r="A9" s="1"/>
      <c r="B9" s="32" t="s">
        <v>455</v>
      </c>
      <c r="C9" s="124">
        <f>'🛒 Shopify &amp; Revenue'!D13</f>
        <v>17</v>
      </c>
      <c r="D9" s="120" t="s">
        <v>456</v>
      </c>
      <c r="E9" s="17" t="s">
        <v>448</v>
      </c>
      <c r="F9" s="121" t="s">
        <v>449</v>
      </c>
      <c r="G9" s="122" t="s">
        <v>457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B10" s="25" t="s">
        <v>91</v>
      </c>
      <c r="C10" s="125">
        <f>'🛒 Shopify &amp; Revenue'!D21</f>
        <v>0.0177</v>
      </c>
      <c r="D10" s="116" t="s">
        <v>92</v>
      </c>
      <c r="E10" s="17" t="s">
        <v>448</v>
      </c>
      <c r="F10" s="117" t="s">
        <v>449</v>
      </c>
      <c r="G10" s="118" t="s">
        <v>458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9.5" customHeight="1">
      <c r="A12" s="1"/>
      <c r="B12" s="65" t="s">
        <v>459</v>
      </c>
      <c r="C12" s="3"/>
      <c r="D12" s="3"/>
      <c r="E12" s="3"/>
      <c r="F12" s="3"/>
      <c r="G12" s="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B13" s="32" t="s">
        <v>460</v>
      </c>
      <c r="C13" s="126">
        <f>'📧 Email &amp; CRM'!D11</f>
        <v>0.195</v>
      </c>
      <c r="D13" s="120" t="s">
        <v>124</v>
      </c>
      <c r="E13" s="17" t="s">
        <v>448</v>
      </c>
      <c r="F13" s="121" t="s">
        <v>461</v>
      </c>
      <c r="G13" s="122" t="s">
        <v>462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B14" s="25" t="s">
        <v>463</v>
      </c>
      <c r="C14" s="125" t="str">
        <f>'📧 Email &amp; CRM'!D19</f>
        <v/>
      </c>
      <c r="D14" s="116" t="s">
        <v>95</v>
      </c>
      <c r="E14" s="17" t="s">
        <v>448</v>
      </c>
      <c r="F14" s="117" t="s">
        <v>461</v>
      </c>
      <c r="G14" s="118" t="s">
        <v>464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B15" s="32" t="s">
        <v>465</v>
      </c>
      <c r="C15" s="127" t="str">
        <f>'📧 Email &amp; CRM'!D30</f>
        <v/>
      </c>
      <c r="D15" s="120" t="s">
        <v>466</v>
      </c>
      <c r="E15" s="17" t="s">
        <v>448</v>
      </c>
      <c r="F15" s="121" t="s">
        <v>461</v>
      </c>
      <c r="G15" s="122" t="s">
        <v>467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B16" s="25" t="s">
        <v>468</v>
      </c>
      <c r="C16" s="123" t="str">
        <f>'📧 Email &amp; CRM'!D6</f>
        <v/>
      </c>
      <c r="D16" s="116" t="s">
        <v>469</v>
      </c>
      <c r="E16" s="17" t="s">
        <v>448</v>
      </c>
      <c r="F16" s="117" t="s">
        <v>461</v>
      </c>
      <c r="G16" s="118" t="s">
        <v>470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9.5" customHeight="1">
      <c r="A18" s="1"/>
      <c r="B18" s="42" t="s">
        <v>471</v>
      </c>
      <c r="C18" s="3"/>
      <c r="D18" s="3"/>
      <c r="E18" s="3"/>
      <c r="F18" s="3"/>
      <c r="G18" s="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1.75" customHeight="1">
      <c r="A19" s="1"/>
      <c r="B19" s="32" t="s">
        <v>472</v>
      </c>
      <c r="C19" s="124">
        <f>'📱 Social Media'!D7</f>
        <v>287</v>
      </c>
      <c r="D19" s="120" t="s">
        <v>205</v>
      </c>
      <c r="E19" s="17" t="s">
        <v>448</v>
      </c>
      <c r="F19" s="121" t="s">
        <v>473</v>
      </c>
      <c r="G19" s="122" t="s">
        <v>474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1.75" customHeight="1">
      <c r="A20" s="1"/>
      <c r="B20" s="25" t="s">
        <v>475</v>
      </c>
      <c r="C20" s="125" t="str">
        <f>'📱 Social Media'!D18</f>
        <v/>
      </c>
      <c r="D20" s="116" t="s">
        <v>228</v>
      </c>
      <c r="E20" s="17" t="s">
        <v>448</v>
      </c>
      <c r="F20" s="117" t="s">
        <v>473</v>
      </c>
      <c r="G20" s="118" t="s">
        <v>476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1.75" customHeight="1">
      <c r="A21" s="1"/>
      <c r="B21" s="32" t="s">
        <v>477</v>
      </c>
      <c r="C21" s="126" t="str">
        <f>'📱 Social Media'!D30</f>
        <v>56%%</v>
      </c>
      <c r="D21" s="120" t="s">
        <v>248</v>
      </c>
      <c r="E21" s="17" t="s">
        <v>448</v>
      </c>
      <c r="F21" s="121" t="s">
        <v>473</v>
      </c>
      <c r="G21" s="122" t="s">
        <v>478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1.75" customHeight="1">
      <c r="A22" s="1"/>
      <c r="B22" s="25" t="s">
        <v>479</v>
      </c>
      <c r="C22" s="123">
        <f>'📱 Social Media'!D9</f>
        <v>24</v>
      </c>
      <c r="D22" s="116" t="s">
        <v>208</v>
      </c>
      <c r="E22" s="17" t="s">
        <v>448</v>
      </c>
      <c r="F22" s="117" t="s">
        <v>473</v>
      </c>
      <c r="G22" s="118" t="s">
        <v>480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1.75" customHeight="1">
      <c r="A23" s="1"/>
      <c r="B23" s="32" t="s">
        <v>481</v>
      </c>
      <c r="C23" s="124">
        <f>'📱 Social Media'!D36</f>
        <v>3</v>
      </c>
      <c r="D23" s="120" t="s">
        <v>264</v>
      </c>
      <c r="E23" s="17" t="s">
        <v>448</v>
      </c>
      <c r="F23" s="121" t="s">
        <v>473</v>
      </c>
      <c r="G23" s="122" t="s">
        <v>482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9.5" customHeight="1">
      <c r="A25" s="1"/>
      <c r="B25" s="92" t="s">
        <v>483</v>
      </c>
      <c r="C25" s="3"/>
      <c r="D25" s="3"/>
      <c r="E25" s="3"/>
      <c r="F25" s="3"/>
      <c r="G25" s="4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1.75" customHeight="1">
      <c r="A26" s="1"/>
      <c r="B26" s="25" t="s">
        <v>287</v>
      </c>
      <c r="C26" s="123" t="str">
        <f>'🏥 Clinic Pipeline'!D9</f>
        <v/>
      </c>
      <c r="D26" s="116" t="s">
        <v>288</v>
      </c>
      <c r="E26" s="17" t="s">
        <v>448</v>
      </c>
      <c r="F26" s="117" t="s">
        <v>484</v>
      </c>
      <c r="G26" s="118" t="s">
        <v>485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1.75" customHeight="1">
      <c r="A27" s="1"/>
      <c r="B27" s="32" t="s">
        <v>486</v>
      </c>
      <c r="C27" s="119" t="str">
        <f>'🏥 Clinic Pipeline'!D14</f>
        <v/>
      </c>
      <c r="D27" s="120" t="s">
        <v>487</v>
      </c>
      <c r="E27" s="17" t="s">
        <v>448</v>
      </c>
      <c r="F27" s="121" t="s">
        <v>484</v>
      </c>
      <c r="G27" s="122" t="s">
        <v>488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1.75" customHeight="1">
      <c r="A28" s="1"/>
      <c r="B28" s="25" t="s">
        <v>489</v>
      </c>
      <c r="C28" s="123" t="str">
        <f>'🏥 Clinic Pipeline'!D5</f>
        <v/>
      </c>
      <c r="D28" s="116" t="s">
        <v>278</v>
      </c>
      <c r="E28" s="17" t="s">
        <v>448</v>
      </c>
      <c r="F28" s="117" t="s">
        <v>484</v>
      </c>
      <c r="G28" s="118" t="s">
        <v>490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9.5" customHeight="1">
      <c r="A30" s="1"/>
      <c r="B30" s="66" t="s">
        <v>491</v>
      </c>
      <c r="C30" s="3"/>
      <c r="D30" s="3"/>
      <c r="E30" s="3"/>
      <c r="F30" s="3"/>
      <c r="G30" s="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1.75" customHeight="1">
      <c r="A31" s="1"/>
      <c r="B31" s="32" t="s">
        <v>492</v>
      </c>
      <c r="C31" s="124">
        <f>'🌏 Asia Sales'!D5</f>
        <v>8</v>
      </c>
      <c r="D31" s="120" t="s">
        <v>493</v>
      </c>
      <c r="E31" s="17" t="s">
        <v>448</v>
      </c>
      <c r="F31" s="121" t="s">
        <v>494</v>
      </c>
      <c r="G31" s="122" t="s">
        <v>495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1.75" customHeight="1">
      <c r="A32" s="1"/>
      <c r="B32" s="25" t="s">
        <v>496</v>
      </c>
      <c r="C32" s="123" t="str">
        <f>'🌏 Asia Sales'!D9</f>
        <v/>
      </c>
      <c r="D32" s="116" t="s">
        <v>330</v>
      </c>
      <c r="E32" s="17" t="s">
        <v>448</v>
      </c>
      <c r="F32" s="117" t="s">
        <v>494</v>
      </c>
      <c r="G32" s="118" t="s">
        <v>497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1.75" customHeight="1">
      <c r="A33" s="1"/>
      <c r="B33" s="32" t="s">
        <v>336</v>
      </c>
      <c r="C33" s="119" t="str">
        <f>'🌏 Asia Sales'!D13</f>
        <v>$2,593.70 </v>
      </c>
      <c r="D33" s="120" t="s">
        <v>498</v>
      </c>
      <c r="E33" s="17" t="s">
        <v>448</v>
      </c>
      <c r="F33" s="121" t="s">
        <v>494</v>
      </c>
      <c r="G33" s="122" t="s">
        <v>499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1.75" customHeight="1">
      <c r="A34" s="1"/>
      <c r="B34" s="25" t="s">
        <v>500</v>
      </c>
      <c r="C34" s="123" t="str">
        <f>'🌏 Asia Sales'!D10</f>
        <v/>
      </c>
      <c r="D34" s="116" t="s">
        <v>288</v>
      </c>
      <c r="E34" s="17" t="s">
        <v>448</v>
      </c>
      <c r="F34" s="117" t="s">
        <v>494</v>
      </c>
      <c r="G34" s="118" t="s">
        <v>501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24" t="s">
        <v>502</v>
      </c>
      <c r="C36" s="3"/>
      <c r="D36" s="3"/>
      <c r="E36" s="3"/>
      <c r="F36" s="3"/>
      <c r="G36" s="4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1.75" customHeight="1">
      <c r="A37" s="1"/>
      <c r="B37" s="32" t="s">
        <v>432</v>
      </c>
      <c r="C37" s="128">
        <f>'💰 Paid Ads'!D24</f>
        <v>258.34</v>
      </c>
      <c r="D37" s="120" t="s">
        <v>377</v>
      </c>
      <c r="E37" s="17" t="s">
        <v>448</v>
      </c>
      <c r="F37" s="121" t="s">
        <v>503</v>
      </c>
      <c r="G37" s="122" t="s">
        <v>504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1.75" customHeight="1">
      <c r="A38" s="1"/>
      <c r="B38" s="25" t="s">
        <v>434</v>
      </c>
      <c r="C38" s="115">
        <f>'💰 Paid Ads'!D25</f>
        <v>2.47</v>
      </c>
      <c r="D38" s="116" t="s">
        <v>391</v>
      </c>
      <c r="E38" s="17" t="s">
        <v>448</v>
      </c>
      <c r="F38" s="117" t="s">
        <v>503</v>
      </c>
      <c r="G38" s="118" t="s">
        <v>505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1.75" customHeight="1">
      <c r="A39" s="1"/>
      <c r="B39" s="32" t="s">
        <v>506</v>
      </c>
      <c r="C39" s="119" t="str">
        <f>'💰 Paid Ads'!D23</f>
        <v>$1.14k</v>
      </c>
      <c r="D39" s="120" t="s">
        <v>368</v>
      </c>
      <c r="E39" s="17" t="s">
        <v>448</v>
      </c>
      <c r="F39" s="121" t="s">
        <v>503</v>
      </c>
      <c r="G39" s="122" t="s">
        <v>507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8">
    <mergeCell ref="B1:G1"/>
    <mergeCell ref="B2:G2"/>
    <mergeCell ref="B5:G5"/>
    <mergeCell ref="B12:G12"/>
    <mergeCell ref="B18:G18"/>
    <mergeCell ref="B25:G25"/>
    <mergeCell ref="B30:G30"/>
    <mergeCell ref="B36:G36"/>
  </mergeCells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4.0" topLeftCell="D5" activePane="bottomRight" state="frozen"/>
      <selection activeCell="D1" sqref="D1" pane="topRight"/>
      <selection activeCell="A5" sqref="A5" pane="bottomLeft"/>
      <selection activeCell="D5" sqref="D5" pane="bottomRight"/>
    </sheetView>
  </sheetViews>
  <sheetFormatPr customHeight="1" defaultColWidth="14.43" defaultRowHeight="15.0"/>
  <cols>
    <col customWidth="1" min="1" max="1" width="3.0"/>
    <col customWidth="1" min="2" max="2" width="42.0"/>
    <col customWidth="1" min="3" max="3" width="28.0"/>
    <col customWidth="1" min="4" max="4" width="45.0"/>
    <col customWidth="1" min="5" max="5" width="12.0"/>
    <col customWidth="1" min="6" max="16" width="10.0"/>
    <col customWidth="1" min="17" max="17" width="16.0"/>
    <col customWidth="1" min="18" max="26" width="8.71"/>
  </cols>
  <sheetData>
    <row r="1" ht="30.0" customHeight="1">
      <c r="A1" s="1"/>
      <c r="B1" s="129" t="s">
        <v>508</v>
      </c>
      <c r="R1" s="1"/>
    </row>
    <row r="2" ht="18.0" customHeight="1">
      <c r="A2" s="1"/>
      <c r="B2" s="130" t="s">
        <v>509</v>
      </c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ht="19.5" customHeight="1">
      <c r="A4" s="1"/>
      <c r="B4" s="85" t="s">
        <v>33</v>
      </c>
      <c r="C4" s="131" t="s">
        <v>34</v>
      </c>
      <c r="D4" s="132" t="s">
        <v>35</v>
      </c>
      <c r="E4" s="131" t="s">
        <v>36</v>
      </c>
      <c r="F4" s="131" t="s">
        <v>37</v>
      </c>
      <c r="G4" s="131" t="s">
        <v>38</v>
      </c>
      <c r="H4" s="131" t="s">
        <v>39</v>
      </c>
      <c r="I4" s="131" t="s">
        <v>40</v>
      </c>
      <c r="J4" s="131" t="s">
        <v>41</v>
      </c>
      <c r="K4" s="131" t="s">
        <v>42</v>
      </c>
      <c r="L4" s="131" t="s">
        <v>43</v>
      </c>
      <c r="M4" s="131" t="s">
        <v>44</v>
      </c>
      <c r="N4" s="131" t="s">
        <v>45</v>
      </c>
      <c r="O4" s="131" t="s">
        <v>46</v>
      </c>
      <c r="P4" s="131" t="s">
        <v>47</v>
      </c>
      <c r="Q4" s="133" t="s">
        <v>443</v>
      </c>
      <c r="R4" s="1"/>
    </row>
    <row r="5" ht="21.75" customHeight="1">
      <c r="A5" s="1"/>
      <c r="B5" s="134" t="s">
        <v>510</v>
      </c>
      <c r="R5" s="1"/>
    </row>
    <row r="6" ht="21.75" customHeight="1">
      <c r="A6" s="1"/>
      <c r="B6" s="81" t="s">
        <v>511</v>
      </c>
      <c r="C6" s="82" t="s">
        <v>512</v>
      </c>
      <c r="D6" s="79">
        <v>1.0</v>
      </c>
      <c r="E6" s="72">
        <v>1.0</v>
      </c>
      <c r="F6" s="72">
        <v>2.0</v>
      </c>
      <c r="G6" s="72">
        <v>3.0</v>
      </c>
      <c r="H6" s="72">
        <v>3.0</v>
      </c>
      <c r="I6" s="72">
        <v>3.0</v>
      </c>
      <c r="J6" s="72">
        <v>2.0</v>
      </c>
      <c r="K6" s="73"/>
      <c r="L6" s="73"/>
      <c r="M6" s="73"/>
      <c r="N6" s="73"/>
      <c r="O6" s="73"/>
      <c r="P6" s="73"/>
      <c r="Q6" s="74" t="s">
        <v>513</v>
      </c>
      <c r="R6" s="1"/>
    </row>
    <row r="7" ht="21.75" customHeight="1">
      <c r="A7" s="1"/>
      <c r="B7" s="84" t="s">
        <v>514</v>
      </c>
      <c r="C7" s="76" t="s">
        <v>515</v>
      </c>
      <c r="D7" s="79">
        <v>1.0</v>
      </c>
      <c r="E7" s="72">
        <v>1.0</v>
      </c>
      <c r="F7" s="72">
        <v>0.0</v>
      </c>
      <c r="G7" s="72">
        <v>1.0</v>
      </c>
      <c r="H7" s="72">
        <v>0.0</v>
      </c>
      <c r="I7" s="72">
        <v>0.0</v>
      </c>
      <c r="J7" s="72">
        <v>0.0</v>
      </c>
      <c r="K7" s="73"/>
      <c r="L7" s="73"/>
      <c r="M7" s="73"/>
      <c r="N7" s="73"/>
      <c r="O7" s="73"/>
      <c r="P7" s="73"/>
      <c r="Q7" s="74" t="s">
        <v>516</v>
      </c>
      <c r="R7" s="1"/>
    </row>
    <row r="8" ht="21.75" customHeight="1">
      <c r="A8" s="1"/>
      <c r="B8" s="81" t="s">
        <v>517</v>
      </c>
      <c r="C8" s="82" t="s">
        <v>518</v>
      </c>
      <c r="D8" s="79">
        <v>1.0</v>
      </c>
      <c r="E8" s="72">
        <v>1.0</v>
      </c>
      <c r="F8" s="72">
        <v>1.0</v>
      </c>
      <c r="G8" s="72">
        <v>1.0</v>
      </c>
      <c r="H8" s="72">
        <v>1.0</v>
      </c>
      <c r="I8" s="72">
        <v>1.0</v>
      </c>
      <c r="J8" s="72">
        <v>1.0</v>
      </c>
      <c r="K8" s="73"/>
      <c r="L8" s="73"/>
      <c r="M8" s="73"/>
      <c r="N8" s="73"/>
      <c r="O8" s="73"/>
      <c r="P8" s="73"/>
      <c r="Q8" s="74" t="s">
        <v>519</v>
      </c>
      <c r="R8" s="1"/>
    </row>
    <row r="9" ht="21.75" customHeight="1">
      <c r="A9" s="1"/>
      <c r="B9" s="84" t="s">
        <v>520</v>
      </c>
      <c r="C9" s="76" t="s">
        <v>521</v>
      </c>
      <c r="D9" s="77">
        <v>1.0</v>
      </c>
      <c r="E9" s="72">
        <v>100.0</v>
      </c>
      <c r="F9" s="72">
        <v>15.7</v>
      </c>
      <c r="G9" s="72" t="s">
        <v>348</v>
      </c>
      <c r="H9" s="135">
        <v>1.0</v>
      </c>
      <c r="I9" s="73"/>
      <c r="J9" s="135">
        <v>1.0</v>
      </c>
      <c r="K9" s="73"/>
      <c r="L9" s="73"/>
      <c r="M9" s="73"/>
      <c r="N9" s="73"/>
      <c r="O9" s="73"/>
      <c r="P9" s="73"/>
      <c r="Q9" s="74" t="s">
        <v>522</v>
      </c>
      <c r="R9" s="1"/>
    </row>
    <row r="10" ht="21.75" customHeight="1">
      <c r="A10" s="1"/>
      <c r="B10" s="81" t="s">
        <v>523</v>
      </c>
      <c r="C10" s="82" t="s">
        <v>524</v>
      </c>
      <c r="D10" s="79">
        <v>0.0</v>
      </c>
      <c r="E10" s="72">
        <v>2.0</v>
      </c>
      <c r="F10" s="72">
        <v>0.0</v>
      </c>
      <c r="G10" s="72">
        <v>1.0</v>
      </c>
      <c r="H10" s="72">
        <v>1.0</v>
      </c>
      <c r="I10" s="72">
        <v>1.0</v>
      </c>
      <c r="J10" s="72">
        <v>1.0</v>
      </c>
      <c r="K10" s="73"/>
      <c r="L10" s="73"/>
      <c r="M10" s="73"/>
      <c r="N10" s="73"/>
      <c r="O10" s="73"/>
      <c r="P10" s="73"/>
      <c r="Q10" s="74" t="s">
        <v>525</v>
      </c>
      <c r="R10" s="1"/>
    </row>
    <row r="11" ht="21.75" customHeight="1">
      <c r="A11" s="1"/>
      <c r="B11" s="84" t="s">
        <v>526</v>
      </c>
      <c r="C11" s="76" t="s">
        <v>527</v>
      </c>
      <c r="D11" s="79">
        <v>1.0</v>
      </c>
      <c r="E11" s="73"/>
      <c r="F11" s="72">
        <v>0.0</v>
      </c>
      <c r="G11" s="72">
        <v>1.0</v>
      </c>
      <c r="H11" s="72">
        <v>1.0</v>
      </c>
      <c r="I11" s="72">
        <v>1.0</v>
      </c>
      <c r="J11" s="72">
        <v>1.0</v>
      </c>
      <c r="K11" s="73"/>
      <c r="L11" s="73"/>
      <c r="M11" s="73"/>
      <c r="N11" s="73"/>
      <c r="O11" s="73"/>
      <c r="P11" s="73"/>
      <c r="Q11" s="74" t="s">
        <v>528</v>
      </c>
      <c r="R11" s="1"/>
    </row>
    <row r="12" ht="21.75" customHeight="1">
      <c r="A12" s="1"/>
      <c r="B12" s="81" t="s">
        <v>529</v>
      </c>
      <c r="C12" s="82" t="s">
        <v>530</v>
      </c>
      <c r="D12" s="79">
        <v>0.0</v>
      </c>
      <c r="E12" s="72">
        <v>0.0</v>
      </c>
      <c r="F12" s="72">
        <v>0.0</v>
      </c>
      <c r="G12" s="72">
        <v>0.0</v>
      </c>
      <c r="H12" s="72">
        <v>0.0</v>
      </c>
      <c r="I12" s="72">
        <v>0.0</v>
      </c>
      <c r="J12" s="72">
        <v>0.0</v>
      </c>
      <c r="K12" s="73"/>
      <c r="L12" s="73"/>
      <c r="M12" s="73"/>
      <c r="N12" s="73"/>
      <c r="O12" s="73"/>
      <c r="P12" s="73"/>
      <c r="Q12" s="74" t="s">
        <v>531</v>
      </c>
      <c r="R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ht="21.75" customHeight="1">
      <c r="A14" s="1"/>
      <c r="B14" s="136" t="s">
        <v>532</v>
      </c>
      <c r="R14" s="1"/>
    </row>
    <row r="15" ht="21.75" customHeight="1">
      <c r="A15" s="1"/>
      <c r="B15" s="81" t="s">
        <v>533</v>
      </c>
      <c r="C15" s="82" t="s">
        <v>534</v>
      </c>
      <c r="D15" s="77">
        <v>1.0</v>
      </c>
      <c r="E15" s="72">
        <v>100.0</v>
      </c>
      <c r="F15" s="72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4" t="s">
        <v>522</v>
      </c>
      <c r="R15" s="1"/>
    </row>
    <row r="16" ht="21.75" customHeight="1">
      <c r="A16" s="1"/>
      <c r="B16" s="84" t="s">
        <v>535</v>
      </c>
      <c r="C16" s="76" t="s">
        <v>536</v>
      </c>
      <c r="D16" s="79">
        <v>0.0</v>
      </c>
      <c r="E16" s="72">
        <v>0.0</v>
      </c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73"/>
      <c r="Q16" s="74" t="s">
        <v>537</v>
      </c>
      <c r="R16" s="1"/>
    </row>
    <row r="17" ht="21.75" customHeight="1">
      <c r="A17" s="1"/>
      <c r="B17" s="81" t="s">
        <v>538</v>
      </c>
      <c r="C17" s="82" t="s">
        <v>539</v>
      </c>
      <c r="D17" s="79">
        <v>0.0</v>
      </c>
      <c r="E17" s="72">
        <v>0.0</v>
      </c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4" t="s">
        <v>540</v>
      </c>
      <c r="R17" s="1"/>
    </row>
    <row r="18" ht="21.75" customHeight="1">
      <c r="A18" s="1"/>
      <c r="B18" s="84" t="s">
        <v>541</v>
      </c>
      <c r="C18" s="76" t="s">
        <v>542</v>
      </c>
      <c r="D18" s="79">
        <v>0.0</v>
      </c>
      <c r="E18" s="72">
        <v>0.0</v>
      </c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4" t="s">
        <v>543</v>
      </c>
      <c r="R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ht="21.75" customHeight="1">
      <c r="A20" s="1"/>
      <c r="B20" s="137" t="s">
        <v>544</v>
      </c>
      <c r="R20" s="1"/>
    </row>
    <row r="21" ht="21.75" customHeight="1">
      <c r="A21" s="1"/>
      <c r="B21" s="81" t="s">
        <v>545</v>
      </c>
      <c r="C21" s="82" t="s">
        <v>546</v>
      </c>
      <c r="D21" s="79">
        <v>0.0</v>
      </c>
      <c r="E21" s="72">
        <v>0.0</v>
      </c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4" t="s">
        <v>547</v>
      </c>
      <c r="R21" s="1"/>
    </row>
    <row r="22" ht="21.75" customHeight="1">
      <c r="A22" s="1"/>
      <c r="B22" s="84" t="s">
        <v>548</v>
      </c>
      <c r="C22" s="76" t="s">
        <v>549</v>
      </c>
      <c r="D22" s="79">
        <v>0.0</v>
      </c>
      <c r="E22" s="72">
        <v>0.0</v>
      </c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4" t="s">
        <v>550</v>
      </c>
      <c r="R22" s="1"/>
    </row>
    <row r="23" ht="21.75" customHeight="1">
      <c r="A23" s="1"/>
      <c r="B23" s="81" t="s">
        <v>551</v>
      </c>
      <c r="C23" s="82" t="s">
        <v>552</v>
      </c>
      <c r="D23" s="79">
        <v>0.0</v>
      </c>
      <c r="E23" s="72">
        <v>0.0</v>
      </c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4" t="s">
        <v>522</v>
      </c>
      <c r="R23" s="1"/>
    </row>
    <row r="24" ht="21.75" customHeight="1">
      <c r="A24" s="1"/>
      <c r="B24" s="84" t="s">
        <v>553</v>
      </c>
      <c r="C24" s="76" t="s">
        <v>554</v>
      </c>
      <c r="D24" s="79">
        <v>0.0</v>
      </c>
      <c r="E24" s="72">
        <v>0.0</v>
      </c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  <c r="Q24" s="74" t="s">
        <v>555</v>
      </c>
      <c r="R24" s="1"/>
    </row>
    <row r="25" ht="21.75" customHeight="1">
      <c r="A25" s="1"/>
      <c r="B25" s="81" t="s">
        <v>556</v>
      </c>
      <c r="C25" s="82" t="s">
        <v>557</v>
      </c>
      <c r="D25" s="79">
        <v>0.0</v>
      </c>
      <c r="E25" s="72">
        <v>0.0</v>
      </c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4" t="s">
        <v>558</v>
      </c>
      <c r="R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</row>
    <row r="27" ht="21.75" customHeight="1">
      <c r="A27" s="1"/>
      <c r="B27" s="138" t="s">
        <v>559</v>
      </c>
      <c r="R27" s="1"/>
    </row>
    <row r="28" ht="21.75" customHeight="1">
      <c r="A28" s="1"/>
      <c r="B28" s="81" t="s">
        <v>560</v>
      </c>
      <c r="C28" s="82" t="s">
        <v>561</v>
      </c>
      <c r="D28" s="79">
        <v>0.0</v>
      </c>
      <c r="E28" s="72">
        <v>1.0</v>
      </c>
      <c r="F28" s="73"/>
      <c r="G28" s="72"/>
      <c r="H28" s="73"/>
      <c r="I28" s="73"/>
      <c r="J28" s="73"/>
      <c r="K28" s="73"/>
      <c r="L28" s="73"/>
      <c r="M28" s="73"/>
      <c r="N28" s="73"/>
      <c r="O28" s="73"/>
      <c r="P28" s="73"/>
      <c r="Q28" s="74" t="s">
        <v>562</v>
      </c>
      <c r="R28" s="1"/>
    </row>
    <row r="29" ht="21.75" customHeight="1">
      <c r="A29" s="1"/>
      <c r="B29" s="84" t="s">
        <v>563</v>
      </c>
      <c r="C29" s="76" t="s">
        <v>564</v>
      </c>
      <c r="D29" s="79">
        <v>1.0</v>
      </c>
      <c r="E29" s="72">
        <v>1.0</v>
      </c>
      <c r="F29" s="73"/>
      <c r="G29" s="72"/>
      <c r="H29" s="73"/>
      <c r="I29" s="73"/>
      <c r="J29" s="73"/>
      <c r="K29" s="73"/>
      <c r="L29" s="73"/>
      <c r="M29" s="73"/>
      <c r="N29" s="73"/>
      <c r="O29" s="73"/>
      <c r="P29" s="73"/>
      <c r="Q29" s="74" t="s">
        <v>565</v>
      </c>
      <c r="R29" s="1"/>
    </row>
    <row r="30" ht="21.75" customHeight="1">
      <c r="A30" s="1"/>
      <c r="B30" s="81" t="s">
        <v>566</v>
      </c>
      <c r="C30" s="82" t="s">
        <v>567</v>
      </c>
      <c r="D30" s="79">
        <v>1.0</v>
      </c>
      <c r="E30" s="72">
        <v>1.0</v>
      </c>
      <c r="F30" s="73"/>
      <c r="G30" s="72"/>
      <c r="H30" s="73"/>
      <c r="I30" s="73"/>
      <c r="J30" s="73"/>
      <c r="K30" s="73"/>
      <c r="L30" s="73"/>
      <c r="M30" s="73"/>
      <c r="N30" s="73"/>
      <c r="O30" s="73"/>
      <c r="P30" s="73"/>
      <c r="Q30" s="74" t="s">
        <v>565</v>
      </c>
      <c r="R30" s="1"/>
    </row>
    <row r="31" ht="21.75" customHeight="1">
      <c r="A31" s="1"/>
      <c r="B31" s="84" t="s">
        <v>568</v>
      </c>
      <c r="C31" s="76" t="s">
        <v>569</v>
      </c>
      <c r="D31" s="79">
        <v>1.0</v>
      </c>
      <c r="E31" s="72">
        <v>1.0</v>
      </c>
      <c r="F31" s="73"/>
      <c r="G31" s="72"/>
      <c r="H31" s="73"/>
      <c r="I31" s="73"/>
      <c r="J31" s="73"/>
      <c r="K31" s="73"/>
      <c r="L31" s="73"/>
      <c r="M31" s="73"/>
      <c r="N31" s="73"/>
      <c r="O31" s="73"/>
      <c r="P31" s="73"/>
      <c r="Q31" s="74" t="s">
        <v>565</v>
      </c>
      <c r="R31" s="1"/>
    </row>
    <row r="32" ht="15.75" customHeight="1">
      <c r="A32" s="1"/>
      <c r="B32" s="1"/>
      <c r="C32" s="1"/>
      <c r="D32" s="1"/>
      <c r="E32" s="1"/>
      <c r="F32" s="1"/>
      <c r="G32" s="72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 ht="21.75" customHeight="1">
      <c r="A33" s="1"/>
      <c r="B33" s="139" t="s">
        <v>570</v>
      </c>
      <c r="R33" s="1"/>
    </row>
    <row r="34" ht="15.75" customHeight="1">
      <c r="A34" s="1"/>
      <c r="B34" s="131" t="s">
        <v>571</v>
      </c>
      <c r="C34" s="131" t="s">
        <v>572</v>
      </c>
      <c r="D34" s="131" t="s">
        <v>573</v>
      </c>
      <c r="E34" s="131" t="s">
        <v>444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 ht="24.75" customHeight="1">
      <c r="A35" s="1"/>
      <c r="B35" s="140" t="s">
        <v>574</v>
      </c>
      <c r="C35" s="141" t="s">
        <v>575</v>
      </c>
      <c r="D35" s="141" t="s">
        <v>576</v>
      </c>
      <c r="E35" s="142" t="s">
        <v>577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 ht="24.75" customHeight="1">
      <c r="A36" s="1"/>
      <c r="B36" s="143" t="s">
        <v>578</v>
      </c>
      <c r="C36" s="144" t="s">
        <v>579</v>
      </c>
      <c r="D36" s="144" t="s">
        <v>580</v>
      </c>
      <c r="E36" s="144" t="s">
        <v>581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ht="24.75" customHeight="1">
      <c r="A37" s="1"/>
      <c r="B37" s="140" t="s">
        <v>582</v>
      </c>
      <c r="C37" s="141" t="s">
        <v>583</v>
      </c>
      <c r="D37" s="141" t="s">
        <v>584</v>
      </c>
      <c r="E37" s="144" t="s">
        <v>581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ht="24.75" customHeight="1">
      <c r="A38" s="1"/>
      <c r="B38" s="143" t="s">
        <v>585</v>
      </c>
      <c r="C38" s="144" t="s">
        <v>586</v>
      </c>
      <c r="D38" s="144" t="s">
        <v>587</v>
      </c>
      <c r="E38" s="142" t="s">
        <v>577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 ht="24.75" customHeight="1">
      <c r="A39" s="1"/>
      <c r="B39" s="140" t="s">
        <v>588</v>
      </c>
      <c r="C39" s="141" t="s">
        <v>589</v>
      </c>
      <c r="D39" s="141" t="s">
        <v>590</v>
      </c>
      <c r="E39" s="141" t="s">
        <v>591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 ht="24.75" customHeight="1">
      <c r="A40" s="1"/>
      <c r="B40" s="143" t="s">
        <v>592</v>
      </c>
      <c r="C40" s="144" t="s">
        <v>593</v>
      </c>
      <c r="D40" s="144" t="s">
        <v>594</v>
      </c>
      <c r="E40" s="145" t="s">
        <v>595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  <row r="41" ht="24.75" customHeight="1">
      <c r="A41" s="1"/>
      <c r="B41" s="140" t="s">
        <v>596</v>
      </c>
      <c r="C41" s="141" t="s">
        <v>597</v>
      </c>
      <c r="D41" s="141" t="s">
        <v>598</v>
      </c>
      <c r="E41" s="144" t="s">
        <v>581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ht="24.75" customHeight="1">
      <c r="A42" s="1"/>
      <c r="B42" s="143" t="s">
        <v>599</v>
      </c>
      <c r="C42" s="144" t="s">
        <v>600</v>
      </c>
      <c r="D42" s="144" t="s">
        <v>601</v>
      </c>
      <c r="E42" s="142" t="s">
        <v>577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ht="24.75" customHeight="1">
      <c r="A43" s="1"/>
      <c r="B43" s="140" t="s">
        <v>602</v>
      </c>
      <c r="C43" s="141" t="s">
        <v>603</v>
      </c>
      <c r="D43" s="141" t="s">
        <v>604</v>
      </c>
      <c r="E43" s="142" t="s">
        <v>577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4" ht="24.75" customHeight="1">
      <c r="A44" s="1"/>
      <c r="B44" s="143" t="s">
        <v>605</v>
      </c>
      <c r="C44" s="144" t="s">
        <v>606</v>
      </c>
      <c r="D44" s="144" t="s">
        <v>607</v>
      </c>
      <c r="E44" s="144" t="s">
        <v>581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</row>
    <row r="45" ht="24.75" customHeight="1">
      <c r="A45" s="1"/>
      <c r="B45" s="140" t="s">
        <v>608</v>
      </c>
      <c r="C45" s="141" t="s">
        <v>609</v>
      </c>
      <c r="D45" s="141" t="s">
        <v>610</v>
      </c>
      <c r="E45" s="146" t="s">
        <v>611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</row>
    <row r="46" ht="24.75" customHeight="1">
      <c r="A46" s="1"/>
      <c r="B46" s="143" t="s">
        <v>612</v>
      </c>
      <c r="C46" s="144" t="s">
        <v>613</v>
      </c>
      <c r="D46" s="144" t="s">
        <v>614</v>
      </c>
      <c r="E46" s="142" t="s">
        <v>577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</row>
    <row r="48" ht="19.5" customHeight="1">
      <c r="A48" s="1"/>
      <c r="B48" s="80" t="s">
        <v>615</v>
      </c>
      <c r="R48" s="1"/>
    </row>
    <row r="49" ht="24.75" customHeight="1">
      <c r="A49" s="1"/>
      <c r="B49" s="147" t="s">
        <v>616</v>
      </c>
      <c r="C49" s="87" t="s">
        <v>617</v>
      </c>
      <c r="R49" s="1"/>
    </row>
    <row r="50" ht="24.75" customHeight="1">
      <c r="A50" s="1"/>
      <c r="B50" s="147" t="s">
        <v>618</v>
      </c>
      <c r="C50" s="148" t="s">
        <v>619</v>
      </c>
      <c r="R50" s="1"/>
    </row>
    <row r="51" ht="24.75" customHeight="1">
      <c r="A51" s="1"/>
      <c r="B51" s="147" t="s">
        <v>620</v>
      </c>
      <c r="C51" s="87" t="s">
        <v>621</v>
      </c>
      <c r="R51" s="1"/>
    </row>
    <row r="52" ht="24.75" customHeight="1">
      <c r="A52" s="1"/>
      <c r="B52" s="147" t="s">
        <v>622</v>
      </c>
      <c r="C52" s="148" t="s">
        <v>623</v>
      </c>
      <c r="R52" s="1"/>
    </row>
    <row r="53" ht="24.75" customHeight="1">
      <c r="A53" s="1"/>
      <c r="B53" s="147" t="s">
        <v>624</v>
      </c>
      <c r="C53" s="87" t="s">
        <v>625</v>
      </c>
      <c r="R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</sheetData>
  <mergeCells count="13">
    <mergeCell ref="B48:Q48"/>
    <mergeCell ref="C49:Q49"/>
    <mergeCell ref="C50:Q50"/>
    <mergeCell ref="C51:Q51"/>
    <mergeCell ref="C52:Q52"/>
    <mergeCell ref="C53:Q53"/>
    <mergeCell ref="B1:Q1"/>
    <mergeCell ref="B2:Q2"/>
    <mergeCell ref="B5:Q5"/>
    <mergeCell ref="B14:Q14"/>
    <mergeCell ref="B20:Q20"/>
    <mergeCell ref="B27:Q27"/>
    <mergeCell ref="B33:Q3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2026-05-07T12:28:01Z</dcterms:created>
  <dc:creator>openpyxl</dc:creator>
</cp:coreProperties>
</file>